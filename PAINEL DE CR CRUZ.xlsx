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ython (meus projetos)\painel_cruz\"/>
    </mc:Choice>
  </mc:AlternateContent>
  <xr:revisionPtr revIDLastSave="0" documentId="13_ncr:1_{CFB00505-CB83-413E-BBB0-415F1EA982E1}" xr6:coauthVersionLast="47" xr6:coauthVersionMax="47" xr10:uidLastSave="{00000000-0000-0000-0000-000000000000}"/>
  <bookViews>
    <workbookView xWindow="-120" yWindow="-120" windowWidth="20730" windowHeight="11040" tabRatio="394" firstSheet="1" activeTab="3" xr2:uid="{00000000-000D-0000-FFFF-FFFF00000000}"/>
  </bookViews>
  <sheets>
    <sheet name="MENU" sheetId="2" r:id="rId1"/>
    <sheet name="CAR PROMAX FILIAL CRUZ" sheetId="1" r:id="rId2"/>
    <sheet name="RANKING - GV" sheetId="5" state="hidden" r:id="rId3"/>
    <sheet name="GV - SETORES" sheetId="4" r:id="rId4"/>
    <sheet name="RN - SETORES" sheetId="3" r:id="rId5"/>
  </sheets>
  <externalReferences>
    <externalReference r:id="rId6"/>
  </externalReferences>
  <definedNames>
    <definedName name="_xlnm._FilterDatabase" localSheetId="1" hidden="1">'CAR PROMAX FILIAL CRUZ'!$A$1:$AN$41</definedName>
    <definedName name="_xlnm._FilterDatabase" localSheetId="0" hidden="1">MENU!$A$7:$U$497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M2" i="2"/>
  <c r="B7" i="3"/>
  <c r="B8" i="3"/>
  <c r="B9" i="3"/>
  <c r="B6" i="3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D28" i="2" s="1"/>
  <c r="A29" i="2"/>
  <c r="A30" i="2"/>
  <c r="A31" i="2"/>
  <c r="A32" i="2"/>
  <c r="A33" i="2"/>
  <c r="A34" i="2"/>
  <c r="H34" i="2" s="1"/>
  <c r="I34" i="2" s="1"/>
  <c r="A35" i="2"/>
  <c r="O35" i="2" s="1"/>
  <c r="A36" i="2"/>
  <c r="O36" i="2" s="1"/>
  <c r="A37" i="2"/>
  <c r="O37" i="2" s="1"/>
  <c r="A38" i="2"/>
  <c r="A39" i="2"/>
  <c r="A40" i="2"/>
  <c r="A41" i="2"/>
  <c r="A42" i="2"/>
  <c r="A43" i="2"/>
  <c r="A44" i="2"/>
  <c r="A45" i="2"/>
  <c r="A46" i="2"/>
  <c r="O46" i="2" s="1"/>
  <c r="A47" i="2"/>
  <c r="A48" i="2"/>
  <c r="A49" i="2"/>
  <c r="A50" i="2"/>
  <c r="A51" i="2"/>
  <c r="A52" i="2"/>
  <c r="A53" i="2"/>
  <c r="A54" i="2"/>
  <c r="A55" i="2"/>
  <c r="H55" i="2" s="1"/>
  <c r="A56" i="2"/>
  <c r="A57" i="2"/>
  <c r="A58" i="2"/>
  <c r="A59" i="2"/>
  <c r="A60" i="2"/>
  <c r="L60" i="2" s="1"/>
  <c r="A61" i="2"/>
  <c r="D61" i="2" s="1"/>
  <c r="A62" i="2"/>
  <c r="F62" i="2" s="1"/>
  <c r="A63" i="2"/>
  <c r="L63" i="2" s="1"/>
  <c r="A64" i="2"/>
  <c r="D64" i="2" s="1"/>
  <c r="A65" i="2"/>
  <c r="P65" i="2" s="1"/>
  <c r="A66" i="2"/>
  <c r="P66" i="2" s="1"/>
  <c r="A67" i="2"/>
  <c r="E67" i="2" s="1"/>
  <c r="A68" i="2"/>
  <c r="F68" i="2" s="1"/>
  <c r="A69" i="2"/>
  <c r="H69" i="2" s="1"/>
  <c r="A70" i="2"/>
  <c r="D70" i="2" s="1"/>
  <c r="A71" i="2"/>
  <c r="O71" i="2" s="1"/>
  <c r="A72" i="2"/>
  <c r="D72" i="2" s="1"/>
  <c r="A73" i="2"/>
  <c r="R73" i="2" s="1"/>
  <c r="A74" i="2"/>
  <c r="F74" i="2" s="1"/>
  <c r="A75" i="2"/>
  <c r="H75" i="2" s="1"/>
  <c r="A76" i="2"/>
  <c r="K76" i="2" s="1"/>
  <c r="B76" i="2" s="1"/>
  <c r="A77" i="2"/>
  <c r="O77" i="2" s="1"/>
  <c r="A78" i="2"/>
  <c r="P78" i="2" s="1"/>
  <c r="A79" i="2"/>
  <c r="D79" i="2" s="1"/>
  <c r="A80" i="2"/>
  <c r="D80" i="2" s="1"/>
  <c r="A81" i="2"/>
  <c r="O81" i="2" s="1"/>
  <c r="A82" i="2"/>
  <c r="M82" i="2" s="1"/>
  <c r="A83" i="2"/>
  <c r="M83" i="2" s="1"/>
  <c r="A84" i="2"/>
  <c r="H84" i="2" s="1"/>
  <c r="A85" i="2"/>
  <c r="H85" i="2" s="1"/>
  <c r="A86" i="2"/>
  <c r="G86" i="2" s="1"/>
  <c r="A87" i="2"/>
  <c r="R87" i="2" s="1"/>
  <c r="A88" i="2"/>
  <c r="D88" i="2" s="1"/>
  <c r="A89" i="2"/>
  <c r="N89" i="2" s="1"/>
  <c r="A90" i="2"/>
  <c r="D90" i="2" s="1"/>
  <c r="A91" i="2"/>
  <c r="M91" i="2" s="1"/>
  <c r="A92" i="2"/>
  <c r="D92" i="2" s="1"/>
  <c r="A93" i="2"/>
  <c r="G93" i="2" s="1"/>
  <c r="A94" i="2"/>
  <c r="P94" i="2" s="1"/>
  <c r="A95" i="2"/>
  <c r="L95" i="2" s="1"/>
  <c r="A96" i="2"/>
  <c r="P96" i="2" s="1"/>
  <c r="A97" i="2"/>
  <c r="D97" i="2" s="1"/>
  <c r="A98" i="2"/>
  <c r="P98" i="2" s="1"/>
  <c r="A99" i="2"/>
  <c r="L99" i="2" s="1"/>
  <c r="A100" i="2"/>
  <c r="D100" i="2" s="1"/>
  <c r="A101" i="2"/>
  <c r="K101" i="2" s="1"/>
  <c r="B101" i="2" s="1"/>
  <c r="A102" i="2"/>
  <c r="P102" i="2" s="1"/>
  <c r="A103" i="2"/>
  <c r="D103" i="2" s="1"/>
  <c r="A104" i="2"/>
  <c r="P104" i="2" s="1"/>
  <c r="A105" i="2"/>
  <c r="D105" i="2" s="1"/>
  <c r="A106" i="2"/>
  <c r="P106" i="2" s="1"/>
  <c r="A107" i="2"/>
  <c r="D107" i="2" s="1"/>
  <c r="A108" i="2"/>
  <c r="D108" i="2" s="1"/>
  <c r="A109" i="2"/>
  <c r="K109" i="2" s="1"/>
  <c r="B109" i="2" s="1"/>
  <c r="A110" i="2"/>
  <c r="P110" i="2" s="1"/>
  <c r="A111" i="2"/>
  <c r="L111" i="2" s="1"/>
  <c r="A112" i="2"/>
  <c r="P112" i="2" s="1"/>
  <c r="A113" i="2"/>
  <c r="D113" i="2" s="1"/>
  <c r="A114" i="2"/>
  <c r="P114" i="2" s="1"/>
  <c r="A115" i="2"/>
  <c r="D115" i="2" s="1"/>
  <c r="A116" i="2"/>
  <c r="D116" i="2" s="1"/>
  <c r="A117" i="2"/>
  <c r="K117" i="2" s="1"/>
  <c r="B117" i="2" s="1"/>
  <c r="A118" i="2"/>
  <c r="P118" i="2" s="1"/>
  <c r="A119" i="2"/>
  <c r="L119" i="2" s="1"/>
  <c r="A120" i="2"/>
  <c r="P120" i="2" s="1"/>
  <c r="A121" i="2"/>
  <c r="D121" i="2" s="1"/>
  <c r="A122" i="2"/>
  <c r="P122" i="2" s="1"/>
  <c r="A123" i="2"/>
  <c r="D123" i="2" s="1"/>
  <c r="A124" i="2"/>
  <c r="D124" i="2" s="1"/>
  <c r="A125" i="2"/>
  <c r="K125" i="2" s="1"/>
  <c r="B125" i="2" s="1"/>
  <c r="A126" i="2"/>
  <c r="P126" i="2" s="1"/>
  <c r="A127" i="2"/>
  <c r="L127" i="2" s="1"/>
  <c r="A128" i="2"/>
  <c r="P128" i="2" s="1"/>
  <c r="A129" i="2"/>
  <c r="D129" i="2" s="1"/>
  <c r="A130" i="2"/>
  <c r="P130" i="2" s="1"/>
  <c r="A131" i="2"/>
  <c r="D131" i="2" s="1"/>
  <c r="A132" i="2"/>
  <c r="D132" i="2" s="1"/>
  <c r="A133" i="2"/>
  <c r="K133" i="2" s="1"/>
  <c r="B133" i="2" s="1"/>
  <c r="A134" i="2"/>
  <c r="P134" i="2" s="1"/>
  <c r="A135" i="2"/>
  <c r="L135" i="2" s="1"/>
  <c r="A136" i="2"/>
  <c r="P136" i="2" s="1"/>
  <c r="A137" i="2"/>
  <c r="D137" i="2" s="1"/>
  <c r="A138" i="2"/>
  <c r="P138" i="2" s="1"/>
  <c r="A139" i="2"/>
  <c r="D139" i="2" s="1"/>
  <c r="A140" i="2"/>
  <c r="D140" i="2" s="1"/>
  <c r="A141" i="2"/>
  <c r="K141" i="2" s="1"/>
  <c r="B141" i="2" s="1"/>
  <c r="A142" i="2"/>
  <c r="P142" i="2" s="1"/>
  <c r="A143" i="2"/>
  <c r="L143" i="2" s="1"/>
  <c r="A144" i="2"/>
  <c r="P144" i="2" s="1"/>
  <c r="A145" i="2"/>
  <c r="D145" i="2" s="1"/>
  <c r="A146" i="2"/>
  <c r="P146" i="2" s="1"/>
  <c r="A147" i="2"/>
  <c r="D147" i="2" s="1"/>
  <c r="A148" i="2"/>
  <c r="P148" i="2" s="1"/>
  <c r="A149" i="2"/>
  <c r="K149" i="2" s="1"/>
  <c r="B149" i="2" s="1"/>
  <c r="A150" i="2"/>
  <c r="P150" i="2" s="1"/>
  <c r="A151" i="2"/>
  <c r="L151" i="2" s="1"/>
  <c r="A152" i="2"/>
  <c r="D152" i="2" s="1"/>
  <c r="A153" i="2"/>
  <c r="D153" i="2" s="1"/>
  <c r="A154" i="2"/>
  <c r="P154" i="2" s="1"/>
  <c r="A155" i="2"/>
  <c r="D155" i="2" s="1"/>
  <c r="A156" i="2"/>
  <c r="P156" i="2" s="1"/>
  <c r="A157" i="2"/>
  <c r="K157" i="2" s="1"/>
  <c r="B157" i="2" s="1"/>
  <c r="A158" i="2"/>
  <c r="P158" i="2" s="1"/>
  <c r="A159" i="2"/>
  <c r="L159" i="2" s="1"/>
  <c r="A160" i="2"/>
  <c r="D160" i="2" s="1"/>
  <c r="A161" i="2"/>
  <c r="D161" i="2" s="1"/>
  <c r="A162" i="2"/>
  <c r="P162" i="2" s="1"/>
  <c r="A163" i="2"/>
  <c r="D163" i="2" s="1"/>
  <c r="A164" i="2"/>
  <c r="P164" i="2" s="1"/>
  <c r="A165" i="2"/>
  <c r="K165" i="2" s="1"/>
  <c r="B165" i="2" s="1"/>
  <c r="A166" i="2"/>
  <c r="P166" i="2" s="1"/>
  <c r="A167" i="2"/>
  <c r="L167" i="2" s="1"/>
  <c r="A168" i="2"/>
  <c r="D168" i="2" s="1"/>
  <c r="A169" i="2"/>
  <c r="D169" i="2" s="1"/>
  <c r="A170" i="2"/>
  <c r="P170" i="2" s="1"/>
  <c r="A171" i="2"/>
  <c r="D171" i="2" s="1"/>
  <c r="A172" i="2"/>
  <c r="D172" i="2" s="1"/>
  <c r="A173" i="2"/>
  <c r="D173" i="2" s="1"/>
  <c r="A174" i="2"/>
  <c r="G174" i="2" s="1"/>
  <c r="A175" i="2"/>
  <c r="H175" i="2" s="1"/>
  <c r="A176" i="2"/>
  <c r="N176" i="2" s="1"/>
  <c r="A177" i="2"/>
  <c r="D177" i="2" s="1"/>
  <c r="A178" i="2"/>
  <c r="H178" i="2" s="1"/>
  <c r="A179" i="2"/>
  <c r="N179" i="2" s="1"/>
  <c r="A180" i="2"/>
  <c r="D180" i="2" s="1"/>
  <c r="A181" i="2"/>
  <c r="D181" i="2" s="1"/>
  <c r="A182" i="2"/>
  <c r="R182" i="2" s="1"/>
  <c r="A183" i="2"/>
  <c r="N183" i="2" s="1"/>
  <c r="A184" i="2"/>
  <c r="N184" i="2" s="1"/>
  <c r="A185" i="2"/>
  <c r="D185" i="2" s="1"/>
  <c r="A186" i="2"/>
  <c r="R186" i="2" s="1"/>
  <c r="A187" i="2"/>
  <c r="N187" i="2" s="1"/>
  <c r="A188" i="2"/>
  <c r="N188" i="2" s="1"/>
  <c r="A189" i="2"/>
  <c r="D189" i="2" s="1"/>
  <c r="A190" i="2"/>
  <c r="H190" i="2" s="1"/>
  <c r="A191" i="2"/>
  <c r="N191" i="2" s="1"/>
  <c r="A192" i="2"/>
  <c r="D192" i="2" s="1"/>
  <c r="A193" i="2"/>
  <c r="D193" i="2" s="1"/>
  <c r="A194" i="2"/>
  <c r="Q194" i="2" s="1"/>
  <c r="A195" i="2"/>
  <c r="N195" i="2" s="1"/>
  <c r="A196" i="2"/>
  <c r="N196" i="2" s="1"/>
  <c r="A197" i="2"/>
  <c r="H197" i="2" s="1"/>
  <c r="A198" i="2"/>
  <c r="R198" i="2" s="1"/>
  <c r="A199" i="2"/>
  <c r="N199" i="2" s="1"/>
  <c r="A200" i="2"/>
  <c r="D200" i="2" s="1"/>
  <c r="A201" i="2"/>
  <c r="N201" i="2" s="1"/>
  <c r="A202" i="2"/>
  <c r="G202" i="2" s="1"/>
  <c r="A203" i="2"/>
  <c r="N203" i="2" s="1"/>
  <c r="A204" i="2"/>
  <c r="N204" i="2" s="1"/>
  <c r="A205" i="2"/>
  <c r="D205" i="2" s="1"/>
  <c r="A206" i="2"/>
  <c r="G206" i="2" s="1"/>
  <c r="A207" i="2"/>
  <c r="N207" i="2" s="1"/>
  <c r="A208" i="2"/>
  <c r="D208" i="2" s="1"/>
  <c r="A209" i="2"/>
  <c r="D209" i="2" s="1"/>
  <c r="A210" i="2"/>
  <c r="Q210" i="2" s="1"/>
  <c r="A211" i="2"/>
  <c r="N211" i="2" s="1"/>
  <c r="A212" i="2"/>
  <c r="N212" i="2" s="1"/>
  <c r="A213" i="2"/>
  <c r="N213" i="2" s="1"/>
  <c r="A214" i="2"/>
  <c r="Q214" i="2" s="1"/>
  <c r="A215" i="2"/>
  <c r="N215" i="2" s="1"/>
  <c r="A216" i="2"/>
  <c r="D216" i="2" s="1"/>
  <c r="A217" i="2"/>
  <c r="D217" i="2" s="1"/>
  <c r="A218" i="2"/>
  <c r="G218" i="2" s="1"/>
  <c r="A219" i="2"/>
  <c r="N219" i="2" s="1"/>
  <c r="A220" i="2"/>
  <c r="N220" i="2" s="1"/>
  <c r="A221" i="2"/>
  <c r="D221" i="2" s="1"/>
  <c r="A222" i="2"/>
  <c r="D222" i="2" s="1"/>
  <c r="A223" i="2"/>
  <c r="N223" i="2" s="1"/>
  <c r="A224" i="2"/>
  <c r="D224" i="2" s="1"/>
  <c r="A225" i="2"/>
  <c r="D225" i="2" s="1"/>
  <c r="A226" i="2"/>
  <c r="Q226" i="2" s="1"/>
  <c r="A227" i="2"/>
  <c r="N227" i="2" s="1"/>
  <c r="A228" i="2"/>
  <c r="D228" i="2" s="1"/>
  <c r="A229" i="2"/>
  <c r="H229" i="2" s="1"/>
  <c r="A230" i="2"/>
  <c r="R230" i="2" s="1"/>
  <c r="A231" i="2"/>
  <c r="N231" i="2" s="1"/>
  <c r="A232" i="2"/>
  <c r="N232" i="2" s="1"/>
  <c r="A233" i="2"/>
  <c r="N233" i="2" s="1"/>
  <c r="A234" i="2"/>
  <c r="D234" i="2" s="1"/>
  <c r="A235" i="2"/>
  <c r="N235" i="2" s="1"/>
  <c r="A236" i="2"/>
  <c r="D236" i="2" s="1"/>
  <c r="A237" i="2"/>
  <c r="D237" i="2" s="1"/>
  <c r="A238" i="2"/>
  <c r="G238" i="2" s="1"/>
  <c r="A239" i="2"/>
  <c r="N239" i="2" s="1"/>
  <c r="A240" i="2"/>
  <c r="N240" i="2" s="1"/>
  <c r="A241" i="2"/>
  <c r="D241" i="2" s="1"/>
  <c r="A242" i="2"/>
  <c r="H242" i="2" s="1"/>
  <c r="A243" i="2"/>
  <c r="N243" i="2" s="1"/>
  <c r="A244" i="2"/>
  <c r="D244" i="2" s="1"/>
  <c r="A245" i="2"/>
  <c r="N245" i="2" s="1"/>
  <c r="A246" i="2"/>
  <c r="R246" i="2" s="1"/>
  <c r="A247" i="2"/>
  <c r="N247" i="2" s="1"/>
  <c r="A248" i="2"/>
  <c r="N248" i="2" s="1"/>
  <c r="A249" i="2"/>
  <c r="D249" i="2" s="1"/>
  <c r="A250" i="2"/>
  <c r="R250" i="2" s="1"/>
  <c r="A251" i="2"/>
  <c r="N251" i="2" s="1"/>
  <c r="A252" i="2"/>
  <c r="D252" i="2" s="1"/>
  <c r="A253" i="2"/>
  <c r="D253" i="2" s="1"/>
  <c r="A254" i="2"/>
  <c r="H254" i="2" s="1"/>
  <c r="A255" i="2"/>
  <c r="N255" i="2" s="1"/>
  <c r="A256" i="2"/>
  <c r="N256" i="2" s="1"/>
  <c r="A257" i="2"/>
  <c r="M257" i="2" s="1"/>
  <c r="A258" i="2"/>
  <c r="D258" i="2" s="1"/>
  <c r="A259" i="2"/>
  <c r="N259" i="2" s="1"/>
  <c r="A260" i="2"/>
  <c r="D260" i="2" s="1"/>
  <c r="A261" i="2"/>
  <c r="H261" i="2" s="1"/>
  <c r="A262" i="2"/>
  <c r="R262" i="2" s="1"/>
  <c r="A263" i="2"/>
  <c r="N263" i="2" s="1"/>
  <c r="A264" i="2"/>
  <c r="N264" i="2" s="1"/>
  <c r="A265" i="2"/>
  <c r="D265" i="2" s="1"/>
  <c r="A266" i="2"/>
  <c r="G266" i="2" s="1"/>
  <c r="A267" i="2"/>
  <c r="N267" i="2" s="1"/>
  <c r="A268" i="2"/>
  <c r="D268" i="2" s="1"/>
  <c r="A269" i="2"/>
  <c r="D269" i="2" s="1"/>
  <c r="A270" i="2"/>
  <c r="G270" i="2" s="1"/>
  <c r="A271" i="2"/>
  <c r="N271" i="2" s="1"/>
  <c r="A272" i="2"/>
  <c r="N272" i="2" s="1"/>
  <c r="A273" i="2"/>
  <c r="D273" i="2" s="1"/>
  <c r="A274" i="2"/>
  <c r="Q274" i="2" s="1"/>
  <c r="A275" i="2"/>
  <c r="N275" i="2" s="1"/>
  <c r="A276" i="2"/>
  <c r="D276" i="2" s="1"/>
  <c r="A277" i="2"/>
  <c r="D277" i="2" s="1"/>
  <c r="A278" i="2"/>
  <c r="Q278" i="2" s="1"/>
  <c r="A279" i="2"/>
  <c r="N279" i="2" s="1"/>
  <c r="A280" i="2"/>
  <c r="N280" i="2" s="1"/>
  <c r="A281" i="2"/>
  <c r="D281" i="2" s="1"/>
  <c r="A282" i="2"/>
  <c r="G282" i="2" s="1"/>
  <c r="A283" i="2"/>
  <c r="N283" i="2" s="1"/>
  <c r="A284" i="2"/>
  <c r="D284" i="2" s="1"/>
  <c r="A285" i="2"/>
  <c r="D285" i="2" s="1"/>
  <c r="A286" i="2"/>
  <c r="H286" i="2" s="1"/>
  <c r="A287" i="2"/>
  <c r="N287" i="2" s="1"/>
  <c r="A288" i="2"/>
  <c r="N288" i="2" s="1"/>
  <c r="A289" i="2"/>
  <c r="D289" i="2" s="1"/>
  <c r="A290" i="2"/>
  <c r="Q290" i="2" s="1"/>
  <c r="A291" i="2"/>
  <c r="N291" i="2" s="1"/>
  <c r="A292" i="2"/>
  <c r="D292" i="2" s="1"/>
  <c r="A293" i="2"/>
  <c r="H293" i="2" s="1"/>
  <c r="A294" i="2"/>
  <c r="D294" i="2" s="1"/>
  <c r="A295" i="2"/>
  <c r="N295" i="2" s="1"/>
  <c r="A296" i="2"/>
  <c r="N296" i="2" s="1"/>
  <c r="A297" i="2"/>
  <c r="D297" i="2" s="1"/>
  <c r="A298" i="2"/>
  <c r="G298" i="2" s="1"/>
  <c r="A299" i="2"/>
  <c r="N299" i="2" s="1"/>
  <c r="A300" i="2"/>
  <c r="D300" i="2" s="1"/>
  <c r="A301" i="2"/>
  <c r="D301" i="2" s="1"/>
  <c r="A302" i="2"/>
  <c r="H302" i="2" s="1"/>
  <c r="A303" i="2"/>
  <c r="N303" i="2" s="1"/>
  <c r="A304" i="2"/>
  <c r="N304" i="2" s="1"/>
  <c r="A305" i="2"/>
  <c r="H305" i="2" s="1"/>
  <c r="A306" i="2"/>
  <c r="H306" i="2" s="1"/>
  <c r="A307" i="2"/>
  <c r="N307" i="2" s="1"/>
  <c r="A308" i="2"/>
  <c r="D308" i="2" s="1"/>
  <c r="A309" i="2"/>
  <c r="D309" i="2" s="1"/>
  <c r="A310" i="2"/>
  <c r="Q310" i="2" s="1"/>
  <c r="A311" i="2"/>
  <c r="N311" i="2" s="1"/>
  <c r="A312" i="2"/>
  <c r="N312" i="2" s="1"/>
  <c r="A313" i="2"/>
  <c r="D313" i="2" s="1"/>
  <c r="A314" i="2"/>
  <c r="R314" i="2" s="1"/>
  <c r="A315" i="2"/>
  <c r="N315" i="2" s="1"/>
  <c r="A316" i="2"/>
  <c r="D316" i="2" s="1"/>
  <c r="A317" i="2"/>
  <c r="D317" i="2" s="1"/>
  <c r="A318" i="2"/>
  <c r="G318" i="2" s="1"/>
  <c r="A319" i="2"/>
  <c r="N319" i="2" s="1"/>
  <c r="A320" i="2"/>
  <c r="N320" i="2" s="1"/>
  <c r="A321" i="2"/>
  <c r="D321" i="2" s="1"/>
  <c r="A322" i="2"/>
  <c r="H322" i="2" s="1"/>
  <c r="A323" i="2"/>
  <c r="N323" i="2" s="1"/>
  <c r="A324" i="2"/>
  <c r="D324" i="2" s="1"/>
  <c r="A325" i="2"/>
  <c r="D325" i="2" s="1"/>
  <c r="A326" i="2"/>
  <c r="Q326" i="2" s="1"/>
  <c r="A327" i="2"/>
  <c r="N327" i="2" s="1"/>
  <c r="A328" i="2"/>
  <c r="N328" i="2" s="1"/>
  <c r="A329" i="2"/>
  <c r="D329" i="2" s="1"/>
  <c r="A330" i="2"/>
  <c r="R330" i="2" s="1"/>
  <c r="A331" i="2"/>
  <c r="N331" i="2" s="1"/>
  <c r="A332" i="2"/>
  <c r="D332" i="2" s="1"/>
  <c r="A333" i="2"/>
  <c r="D333" i="2" s="1"/>
  <c r="A334" i="2"/>
  <c r="G334" i="2" s="1"/>
  <c r="A335" i="2"/>
  <c r="N335" i="2" s="1"/>
  <c r="A336" i="2"/>
  <c r="N336" i="2" s="1"/>
  <c r="A337" i="2"/>
  <c r="D337" i="2" s="1"/>
  <c r="A338" i="2"/>
  <c r="H338" i="2" s="1"/>
  <c r="A339" i="2"/>
  <c r="N339" i="2" s="1"/>
  <c r="A340" i="2"/>
  <c r="D340" i="2" s="1"/>
  <c r="A341" i="2"/>
  <c r="D341" i="2" s="1"/>
  <c r="A342" i="2"/>
  <c r="Q342" i="2" s="1"/>
  <c r="A343" i="2"/>
  <c r="N343" i="2" s="1"/>
  <c r="A344" i="2"/>
  <c r="E344" i="2" s="1"/>
  <c r="A345" i="2"/>
  <c r="D345" i="2" s="1"/>
  <c r="A346" i="2"/>
  <c r="G346" i="2" s="1"/>
  <c r="A347" i="2"/>
  <c r="E347" i="2" s="1"/>
  <c r="A348" i="2"/>
  <c r="E348" i="2" s="1"/>
  <c r="A349" i="2"/>
  <c r="D349" i="2" s="1"/>
  <c r="A350" i="2"/>
  <c r="Q350" i="2" s="1"/>
  <c r="A351" i="2"/>
  <c r="N351" i="2" s="1"/>
  <c r="A352" i="2"/>
  <c r="E352" i="2" s="1"/>
  <c r="A353" i="2"/>
  <c r="D353" i="2" s="1"/>
  <c r="A354" i="2"/>
  <c r="Q354" i="2" s="1"/>
  <c r="A355" i="2"/>
  <c r="D355" i="2" s="1"/>
  <c r="A356" i="2"/>
  <c r="E356" i="2" s="1"/>
  <c r="A357" i="2"/>
  <c r="D357" i="2" s="1"/>
  <c r="A358" i="2"/>
  <c r="R358" i="2" s="1"/>
  <c r="A359" i="2"/>
  <c r="H359" i="2" s="1"/>
  <c r="A360" i="2"/>
  <c r="E360" i="2" s="1"/>
  <c r="A361" i="2"/>
  <c r="D361" i="2" s="1"/>
  <c r="A362" i="2"/>
  <c r="Q362" i="2" s="1"/>
  <c r="A363" i="2"/>
  <c r="E363" i="2" s="1"/>
  <c r="A364" i="2"/>
  <c r="E364" i="2" s="1"/>
  <c r="A365" i="2"/>
  <c r="D365" i="2" s="1"/>
  <c r="A366" i="2"/>
  <c r="H366" i="2" s="1"/>
  <c r="A367" i="2"/>
  <c r="R367" i="2" s="1"/>
  <c r="A368" i="2"/>
  <c r="E368" i="2" s="1"/>
  <c r="A369" i="2"/>
  <c r="D369" i="2" s="1"/>
  <c r="A370" i="2"/>
  <c r="H370" i="2" s="1"/>
  <c r="A371" i="2"/>
  <c r="R371" i="2" s="1"/>
  <c r="A372" i="2"/>
  <c r="E372" i="2" s="1"/>
  <c r="A373" i="2"/>
  <c r="D373" i="2" s="1"/>
  <c r="A374" i="2"/>
  <c r="M374" i="2" s="1"/>
  <c r="A375" i="2"/>
  <c r="D375" i="2" s="1"/>
  <c r="A376" i="2"/>
  <c r="E376" i="2" s="1"/>
  <c r="A377" i="2"/>
  <c r="D377" i="2" s="1"/>
  <c r="A378" i="2"/>
  <c r="G378" i="2" s="1"/>
  <c r="A379" i="2"/>
  <c r="E379" i="2" s="1"/>
  <c r="A380" i="2"/>
  <c r="E380" i="2" s="1"/>
  <c r="A381" i="2"/>
  <c r="D381" i="2" s="1"/>
  <c r="A382" i="2"/>
  <c r="G382" i="2" s="1"/>
  <c r="A383" i="2"/>
  <c r="N383" i="2" s="1"/>
  <c r="A384" i="2"/>
  <c r="E384" i="2" s="1"/>
  <c r="A385" i="2"/>
  <c r="D385" i="2" s="1"/>
  <c r="A386" i="2"/>
  <c r="R386" i="2" s="1"/>
  <c r="A387" i="2"/>
  <c r="H387" i="2" s="1"/>
  <c r="A388" i="2"/>
  <c r="E388" i="2" s="1"/>
  <c r="A389" i="2"/>
  <c r="D389" i="2" s="1"/>
  <c r="A390" i="2"/>
  <c r="M390" i="2" s="1"/>
  <c r="A391" i="2"/>
  <c r="N391" i="2" s="1"/>
  <c r="A392" i="2"/>
  <c r="E392" i="2" s="1"/>
  <c r="A393" i="2"/>
  <c r="D393" i="2" s="1"/>
  <c r="A394" i="2"/>
  <c r="N394" i="2" s="1"/>
  <c r="A395" i="2"/>
  <c r="E395" i="2" s="1"/>
  <c r="A396" i="2"/>
  <c r="E396" i="2" s="1"/>
  <c r="A397" i="2"/>
  <c r="D397" i="2" s="1"/>
  <c r="A398" i="2"/>
  <c r="N398" i="2" s="1"/>
  <c r="A399" i="2"/>
  <c r="D399" i="2" s="1"/>
  <c r="A400" i="2"/>
  <c r="E400" i="2" s="1"/>
  <c r="A401" i="2"/>
  <c r="D401" i="2" s="1"/>
  <c r="A402" i="2"/>
  <c r="H402" i="2" s="1"/>
  <c r="A403" i="2"/>
  <c r="H403" i="2" s="1"/>
  <c r="A404" i="2"/>
  <c r="E404" i="2" s="1"/>
  <c r="A405" i="2"/>
  <c r="D405" i="2" s="1"/>
  <c r="A406" i="2"/>
  <c r="H406" i="2" s="1"/>
  <c r="A407" i="2"/>
  <c r="N407" i="2" s="1"/>
  <c r="A408" i="2"/>
  <c r="E408" i="2" s="1"/>
  <c r="A409" i="2"/>
  <c r="D409" i="2" s="1"/>
  <c r="A410" i="2"/>
  <c r="G410" i="2" s="1"/>
  <c r="A411" i="2"/>
  <c r="E411" i="2" s="1"/>
  <c r="A412" i="2"/>
  <c r="E412" i="2" s="1"/>
  <c r="A413" i="2"/>
  <c r="D413" i="2" s="1"/>
  <c r="A414" i="2"/>
  <c r="Q414" i="2" s="1"/>
  <c r="A415" i="2"/>
  <c r="R415" i="2" s="1"/>
  <c r="A416" i="2"/>
  <c r="E416" i="2" s="1"/>
  <c r="A417" i="2"/>
  <c r="D417" i="2" s="1"/>
  <c r="A418" i="2"/>
  <c r="Q418" i="2" s="1"/>
  <c r="A419" i="2"/>
  <c r="R419" i="2" s="1"/>
  <c r="A420" i="2"/>
  <c r="E420" i="2" s="1"/>
  <c r="A421" i="2"/>
  <c r="D421" i="2" s="1"/>
  <c r="A422" i="2"/>
  <c r="R422" i="2" s="1"/>
  <c r="A423" i="2"/>
  <c r="H423" i="2" s="1"/>
  <c r="A424" i="2"/>
  <c r="E424" i="2" s="1"/>
  <c r="A425" i="2"/>
  <c r="D425" i="2" s="1"/>
  <c r="A426" i="2"/>
  <c r="Q426" i="2" s="1"/>
  <c r="A427" i="2"/>
  <c r="E427" i="2" s="1"/>
  <c r="A428" i="2"/>
  <c r="E428" i="2" s="1"/>
  <c r="A429" i="2"/>
  <c r="D429" i="2" s="1"/>
  <c r="A430" i="2"/>
  <c r="H430" i="2" s="1"/>
  <c r="A431" i="2"/>
  <c r="R431" i="2" s="1"/>
  <c r="A432" i="2"/>
  <c r="E432" i="2" s="1"/>
  <c r="A433" i="2"/>
  <c r="D433" i="2" s="1"/>
  <c r="A434" i="2"/>
  <c r="Q434" i="2" s="1"/>
  <c r="A435" i="2"/>
  <c r="R435" i="2" s="1"/>
  <c r="A436" i="2"/>
  <c r="E436" i="2" s="1"/>
  <c r="A437" i="2"/>
  <c r="D437" i="2" s="1"/>
  <c r="A438" i="2"/>
  <c r="M438" i="2" s="1"/>
  <c r="A439" i="2"/>
  <c r="D439" i="2" s="1"/>
  <c r="A440" i="2"/>
  <c r="E440" i="2" s="1"/>
  <c r="A441" i="2"/>
  <c r="D441" i="2" s="1"/>
  <c r="A442" i="2"/>
  <c r="G442" i="2" s="1"/>
  <c r="A443" i="2"/>
  <c r="E443" i="2" s="1"/>
  <c r="A444" i="2"/>
  <c r="E444" i="2" s="1"/>
  <c r="A445" i="2"/>
  <c r="D445" i="2" s="1"/>
  <c r="A446" i="2"/>
  <c r="G446" i="2" s="1"/>
  <c r="A447" i="2"/>
  <c r="N447" i="2" s="1"/>
  <c r="A448" i="2"/>
  <c r="E448" i="2" s="1"/>
  <c r="A449" i="2"/>
  <c r="D449" i="2" s="1"/>
  <c r="A450" i="2"/>
  <c r="R450" i="2" s="1"/>
  <c r="A451" i="2"/>
  <c r="H451" i="2" s="1"/>
  <c r="A452" i="2"/>
  <c r="E452" i="2" s="1"/>
  <c r="A453" i="2"/>
  <c r="D453" i="2" s="1"/>
  <c r="A454" i="2"/>
  <c r="M454" i="2" s="1"/>
  <c r="A455" i="2"/>
  <c r="H455" i="2" s="1"/>
  <c r="A456" i="2"/>
  <c r="E456" i="2" s="1"/>
  <c r="A457" i="2"/>
  <c r="D457" i="2" s="1"/>
  <c r="A458" i="2"/>
  <c r="N458" i="2" s="1"/>
  <c r="A459" i="2"/>
  <c r="E459" i="2" s="1"/>
  <c r="A460" i="2"/>
  <c r="E460" i="2" s="1"/>
  <c r="A461" i="2"/>
  <c r="D461" i="2" s="1"/>
  <c r="A462" i="2"/>
  <c r="E462" i="2" s="1"/>
  <c r="A463" i="2"/>
  <c r="E463" i="2" s="1"/>
  <c r="A464" i="2"/>
  <c r="E464" i="2" s="1"/>
  <c r="A465" i="2"/>
  <c r="D465" i="2" s="1"/>
  <c r="A466" i="2"/>
  <c r="E466" i="2" s="1"/>
  <c r="A467" i="2"/>
  <c r="E467" i="2" s="1"/>
  <c r="A468" i="2"/>
  <c r="E468" i="2" s="1"/>
  <c r="A469" i="2"/>
  <c r="D469" i="2" s="1"/>
  <c r="A470" i="2"/>
  <c r="E470" i="2" s="1"/>
  <c r="A471" i="2"/>
  <c r="E471" i="2" s="1"/>
  <c r="A472" i="2"/>
  <c r="E472" i="2" s="1"/>
  <c r="A473" i="2"/>
  <c r="D473" i="2" s="1"/>
  <c r="A474" i="2"/>
  <c r="E474" i="2" s="1"/>
  <c r="A475" i="2"/>
  <c r="E475" i="2" s="1"/>
  <c r="A476" i="2"/>
  <c r="E476" i="2" s="1"/>
  <c r="A477" i="2"/>
  <c r="D477" i="2" s="1"/>
  <c r="A478" i="2"/>
  <c r="E478" i="2" s="1"/>
  <c r="A479" i="2"/>
  <c r="E479" i="2" s="1"/>
  <c r="A480" i="2"/>
  <c r="E480" i="2" s="1"/>
  <c r="A481" i="2"/>
  <c r="D481" i="2" s="1"/>
  <c r="A482" i="2"/>
  <c r="E482" i="2" s="1"/>
  <c r="A483" i="2"/>
  <c r="E483" i="2" s="1"/>
  <c r="A484" i="2"/>
  <c r="E484" i="2" s="1"/>
  <c r="A485" i="2"/>
  <c r="D485" i="2" s="1"/>
  <c r="A486" i="2"/>
  <c r="E486" i="2" s="1"/>
  <c r="A487" i="2"/>
  <c r="E487" i="2" s="1"/>
  <c r="A488" i="2"/>
  <c r="E488" i="2" s="1"/>
  <c r="A489" i="2"/>
  <c r="D489" i="2" s="1"/>
  <c r="A490" i="2"/>
  <c r="E490" i="2" s="1"/>
  <c r="A491" i="2"/>
  <c r="E491" i="2" s="1"/>
  <c r="A492" i="2"/>
  <c r="E492" i="2" s="1"/>
  <c r="A493" i="2"/>
  <c r="D493" i="2" s="1"/>
  <c r="A494" i="2"/>
  <c r="E494" i="2" s="1"/>
  <c r="A495" i="2"/>
  <c r="E495" i="2" s="1"/>
  <c r="A496" i="2"/>
  <c r="E496" i="2" s="1"/>
  <c r="A497" i="2"/>
  <c r="D497" i="2" s="1"/>
  <c r="A8" i="2"/>
  <c r="G53" i="2" l="1"/>
  <c r="P53" i="2"/>
  <c r="H53" i="2"/>
  <c r="Q53" i="2"/>
  <c r="R53" i="2"/>
  <c r="K53" i="2"/>
  <c r="L53" i="2"/>
  <c r="O53" i="2"/>
  <c r="M53" i="2"/>
  <c r="D53" i="2"/>
  <c r="F53" i="2"/>
  <c r="E53" i="2"/>
  <c r="N53" i="2"/>
  <c r="R37" i="2"/>
  <c r="K37" i="2"/>
  <c r="L37" i="2"/>
  <c r="E37" i="2"/>
  <c r="Q37" i="2"/>
  <c r="F37" i="2"/>
  <c r="M37" i="2"/>
  <c r="G37" i="2"/>
  <c r="H37" i="2"/>
  <c r="P37" i="2"/>
  <c r="D37" i="2"/>
  <c r="N37" i="2"/>
  <c r="R13" i="2"/>
  <c r="K13" i="2"/>
  <c r="L13" i="2"/>
  <c r="F13" i="2"/>
  <c r="O13" i="2"/>
  <c r="G13" i="2"/>
  <c r="N13" i="2"/>
  <c r="H13" i="2"/>
  <c r="I13" i="2" s="1"/>
  <c r="M13" i="2"/>
  <c r="Q13" i="2"/>
  <c r="D13" i="2"/>
  <c r="E13" i="2"/>
  <c r="P13" i="2"/>
  <c r="H52" i="2"/>
  <c r="Q52" i="2"/>
  <c r="R52" i="2"/>
  <c r="K52" i="2"/>
  <c r="L52" i="2"/>
  <c r="M52" i="2"/>
  <c r="P52" i="2"/>
  <c r="N52" i="2"/>
  <c r="O52" i="2"/>
  <c r="D52" i="2"/>
  <c r="E52" i="2"/>
  <c r="F52" i="2"/>
  <c r="G52" i="2"/>
  <c r="H36" i="2"/>
  <c r="I36" i="2" s="1"/>
  <c r="Q36" i="2"/>
  <c r="R36" i="2"/>
  <c r="K36" i="2"/>
  <c r="F36" i="2"/>
  <c r="G36" i="2"/>
  <c r="L36" i="2"/>
  <c r="M36" i="2"/>
  <c r="N36" i="2"/>
  <c r="D36" i="2"/>
  <c r="E36" i="2"/>
  <c r="P36" i="2"/>
  <c r="H12" i="2"/>
  <c r="I12" i="2" s="1"/>
  <c r="Q12" i="2"/>
  <c r="R12" i="2"/>
  <c r="K12" i="2"/>
  <c r="G12" i="2"/>
  <c r="D12" i="2"/>
  <c r="L12" i="2"/>
  <c r="M12" i="2"/>
  <c r="P12" i="2"/>
  <c r="N12" i="2"/>
  <c r="O12" i="2"/>
  <c r="E12" i="2"/>
  <c r="F12" i="2"/>
  <c r="E59" i="2"/>
  <c r="N59" i="2"/>
  <c r="F59" i="2"/>
  <c r="H59" i="2"/>
  <c r="O59" i="2"/>
  <c r="Q59" i="2"/>
  <c r="G59" i="2"/>
  <c r="P59" i="2"/>
  <c r="R59" i="2"/>
  <c r="L59" i="2"/>
  <c r="M59" i="2"/>
  <c r="D59" i="2"/>
  <c r="K59" i="2"/>
  <c r="G43" i="2"/>
  <c r="P43" i="2"/>
  <c r="H43" i="2"/>
  <c r="Q43" i="2"/>
  <c r="R43" i="2"/>
  <c r="D43" i="2"/>
  <c r="E43" i="2"/>
  <c r="F43" i="2"/>
  <c r="L43" i="2"/>
  <c r="K43" i="2"/>
  <c r="M43" i="2"/>
  <c r="N43" i="2"/>
  <c r="O43" i="2"/>
  <c r="G27" i="2"/>
  <c r="P27" i="2"/>
  <c r="H27" i="2"/>
  <c r="I27" i="2" s="1"/>
  <c r="Q27" i="2"/>
  <c r="R27" i="2"/>
  <c r="N27" i="2"/>
  <c r="O27" i="2"/>
  <c r="D27" i="2"/>
  <c r="E27" i="2"/>
  <c r="F27" i="2"/>
  <c r="K27" i="2"/>
  <c r="L27" i="2"/>
  <c r="M27" i="2"/>
  <c r="G19" i="2"/>
  <c r="P19" i="2"/>
  <c r="H19" i="2"/>
  <c r="I19" i="2" s="1"/>
  <c r="Q19" i="2"/>
  <c r="R19" i="2"/>
  <c r="E19" i="2"/>
  <c r="F19" i="2"/>
  <c r="M19" i="2"/>
  <c r="K19" i="2"/>
  <c r="N19" i="2"/>
  <c r="L19" i="2"/>
  <c r="D19" i="2"/>
  <c r="O19" i="2"/>
  <c r="D8" i="2"/>
  <c r="M8" i="2"/>
  <c r="E8" i="2"/>
  <c r="N8" i="2"/>
  <c r="F8" i="2"/>
  <c r="O8" i="2"/>
  <c r="R8" i="2"/>
  <c r="G8" i="2"/>
  <c r="K8" i="2"/>
  <c r="H8" i="2"/>
  <c r="I8" i="2" s="1"/>
  <c r="L8" i="2"/>
  <c r="P8" i="2"/>
  <c r="Q8" i="2"/>
  <c r="D58" i="2"/>
  <c r="M58" i="2"/>
  <c r="E58" i="2"/>
  <c r="N58" i="2"/>
  <c r="H58" i="2"/>
  <c r="F58" i="2"/>
  <c r="O58" i="2"/>
  <c r="G58" i="2"/>
  <c r="P58" i="2"/>
  <c r="Q58" i="2"/>
  <c r="K58" i="2"/>
  <c r="L58" i="2"/>
  <c r="R58" i="2"/>
  <c r="F50" i="2"/>
  <c r="O50" i="2"/>
  <c r="G50" i="2"/>
  <c r="P50" i="2"/>
  <c r="H50" i="2"/>
  <c r="Q50" i="2"/>
  <c r="N50" i="2"/>
  <c r="R50" i="2"/>
  <c r="D50" i="2"/>
  <c r="E50" i="2"/>
  <c r="K50" i="2"/>
  <c r="L50" i="2"/>
  <c r="M50" i="2"/>
  <c r="F42" i="2"/>
  <c r="O42" i="2"/>
  <c r="G42" i="2"/>
  <c r="P42" i="2"/>
  <c r="H42" i="2"/>
  <c r="Q42" i="2"/>
  <c r="E42" i="2"/>
  <c r="K42" i="2"/>
  <c r="L42" i="2"/>
  <c r="M42" i="2"/>
  <c r="R42" i="2"/>
  <c r="N42" i="2"/>
  <c r="D42" i="2"/>
  <c r="F34" i="2"/>
  <c r="O34" i="2"/>
  <c r="G34" i="2"/>
  <c r="P34" i="2"/>
  <c r="Q34" i="2"/>
  <c r="L34" i="2"/>
  <c r="M34" i="2"/>
  <c r="D34" i="2"/>
  <c r="N34" i="2"/>
  <c r="R34" i="2"/>
  <c r="E34" i="2"/>
  <c r="K34" i="2"/>
  <c r="F26" i="2"/>
  <c r="O26" i="2"/>
  <c r="G26" i="2"/>
  <c r="P26" i="2"/>
  <c r="H26" i="2"/>
  <c r="I26" i="2" s="1"/>
  <c r="Q26" i="2"/>
  <c r="R26" i="2"/>
  <c r="D26" i="2"/>
  <c r="K26" i="2"/>
  <c r="E26" i="2"/>
  <c r="N26" i="2"/>
  <c r="M26" i="2"/>
  <c r="L26" i="2"/>
  <c r="F18" i="2"/>
  <c r="O18" i="2"/>
  <c r="G18" i="2"/>
  <c r="P18" i="2"/>
  <c r="H18" i="2"/>
  <c r="I18" i="2" s="1"/>
  <c r="Q18" i="2"/>
  <c r="R18" i="2"/>
  <c r="K18" i="2"/>
  <c r="L18" i="2"/>
  <c r="M18" i="2"/>
  <c r="N18" i="2"/>
  <c r="D18" i="2"/>
  <c r="E18" i="2"/>
  <c r="F10" i="2"/>
  <c r="O10" i="2"/>
  <c r="G10" i="2"/>
  <c r="P10" i="2"/>
  <c r="H10" i="2"/>
  <c r="I10" i="2" s="1"/>
  <c r="Q10" i="2"/>
  <c r="M10" i="2"/>
  <c r="N10" i="2"/>
  <c r="R10" i="2"/>
  <c r="E10" i="2"/>
  <c r="D10" i="2"/>
  <c r="K10" i="2"/>
  <c r="L10" i="2"/>
  <c r="R45" i="2"/>
  <c r="K45" i="2"/>
  <c r="L45" i="2"/>
  <c r="N45" i="2"/>
  <c r="O45" i="2"/>
  <c r="D45" i="2"/>
  <c r="P45" i="2"/>
  <c r="E45" i="2"/>
  <c r="Q45" i="2"/>
  <c r="F45" i="2"/>
  <c r="G45" i="2"/>
  <c r="H45" i="2"/>
  <c r="M45" i="2"/>
  <c r="R21" i="2"/>
  <c r="K21" i="2"/>
  <c r="L21" i="2"/>
  <c r="O21" i="2"/>
  <c r="D21" i="2"/>
  <c r="P21" i="2"/>
  <c r="G21" i="2"/>
  <c r="E21" i="2"/>
  <c r="Q21" i="2"/>
  <c r="H21" i="2"/>
  <c r="I21" i="2" s="1"/>
  <c r="F21" i="2"/>
  <c r="M21" i="2"/>
  <c r="N21" i="2"/>
  <c r="H44" i="2"/>
  <c r="Q44" i="2"/>
  <c r="R44" i="2"/>
  <c r="K44" i="2"/>
  <c r="O44" i="2"/>
  <c r="D44" i="2"/>
  <c r="P44" i="2"/>
  <c r="G44" i="2"/>
  <c r="E44" i="2"/>
  <c r="F44" i="2"/>
  <c r="N44" i="2"/>
  <c r="M44" i="2"/>
  <c r="L44" i="2"/>
  <c r="H28" i="2"/>
  <c r="I28" i="2" s="1"/>
  <c r="Q28" i="2"/>
  <c r="R28" i="2"/>
  <c r="K28" i="2"/>
  <c r="M28" i="2"/>
  <c r="N28" i="2"/>
  <c r="E28" i="2"/>
  <c r="O28" i="2"/>
  <c r="P28" i="2"/>
  <c r="G28" i="2"/>
  <c r="F28" i="2"/>
  <c r="L28" i="2"/>
  <c r="H20" i="2"/>
  <c r="I20" i="2" s="1"/>
  <c r="Q20" i="2"/>
  <c r="R20" i="2"/>
  <c r="K20" i="2"/>
  <c r="D20" i="2"/>
  <c r="P20" i="2"/>
  <c r="M20" i="2"/>
  <c r="E20" i="2"/>
  <c r="F20" i="2"/>
  <c r="G20" i="2"/>
  <c r="L20" i="2"/>
  <c r="N20" i="2"/>
  <c r="O20" i="2"/>
  <c r="G51" i="2"/>
  <c r="P51" i="2"/>
  <c r="H51" i="2"/>
  <c r="Q51" i="2"/>
  <c r="R51" i="2"/>
  <c r="M51" i="2"/>
  <c r="N51" i="2"/>
  <c r="E51" i="2"/>
  <c r="O51" i="2"/>
  <c r="D51" i="2"/>
  <c r="K51" i="2"/>
  <c r="B51" i="2" s="1"/>
  <c r="L51" i="2"/>
  <c r="F51" i="2"/>
  <c r="G35" i="2"/>
  <c r="P35" i="2"/>
  <c r="H35" i="2"/>
  <c r="I35" i="2" s="1"/>
  <c r="Q35" i="2"/>
  <c r="R35" i="2"/>
  <c r="K35" i="2"/>
  <c r="L35" i="2"/>
  <c r="M35" i="2"/>
  <c r="N35" i="2"/>
  <c r="E35" i="2"/>
  <c r="D35" i="2"/>
  <c r="F35" i="2"/>
  <c r="G11" i="2"/>
  <c r="P11" i="2"/>
  <c r="H11" i="2"/>
  <c r="I11" i="2" s="1"/>
  <c r="Q11" i="2"/>
  <c r="R11" i="2"/>
  <c r="L11" i="2"/>
  <c r="D11" i="2"/>
  <c r="E11" i="2"/>
  <c r="M11" i="2"/>
  <c r="N11" i="2"/>
  <c r="O11" i="2"/>
  <c r="F11" i="2"/>
  <c r="K11" i="2"/>
  <c r="L57" i="2"/>
  <c r="M57" i="2"/>
  <c r="D57" i="2"/>
  <c r="G57" i="2"/>
  <c r="E57" i="2"/>
  <c r="N57" i="2"/>
  <c r="F57" i="2"/>
  <c r="O57" i="2"/>
  <c r="P57" i="2"/>
  <c r="Q57" i="2"/>
  <c r="H57" i="2"/>
  <c r="K57" i="2"/>
  <c r="R57" i="2"/>
  <c r="E49" i="2"/>
  <c r="N49" i="2"/>
  <c r="F49" i="2"/>
  <c r="O49" i="2"/>
  <c r="G49" i="2"/>
  <c r="P49" i="2"/>
  <c r="R49" i="2"/>
  <c r="D49" i="2"/>
  <c r="K49" i="2"/>
  <c r="H49" i="2"/>
  <c r="M49" i="2"/>
  <c r="Q49" i="2"/>
  <c r="L49" i="2"/>
  <c r="E41" i="2"/>
  <c r="N41" i="2"/>
  <c r="F41" i="2"/>
  <c r="O41" i="2"/>
  <c r="G41" i="2"/>
  <c r="P41" i="2"/>
  <c r="Q41" i="2"/>
  <c r="K41" i="2"/>
  <c r="L41" i="2"/>
  <c r="M41" i="2"/>
  <c r="D41" i="2"/>
  <c r="H41" i="2"/>
  <c r="R41" i="2"/>
  <c r="E33" i="2"/>
  <c r="N33" i="2"/>
  <c r="F33" i="2"/>
  <c r="O33" i="2"/>
  <c r="G33" i="2"/>
  <c r="P33" i="2"/>
  <c r="M33" i="2"/>
  <c r="Q33" i="2"/>
  <c r="R33" i="2"/>
  <c r="D33" i="2"/>
  <c r="H33" i="2"/>
  <c r="I33" i="2" s="1"/>
  <c r="L33" i="2"/>
  <c r="K33" i="2"/>
  <c r="E25" i="2"/>
  <c r="N25" i="2"/>
  <c r="F25" i="2"/>
  <c r="O25" i="2"/>
  <c r="G25" i="2"/>
  <c r="P25" i="2"/>
  <c r="D25" i="2"/>
  <c r="H25" i="2"/>
  <c r="I25" i="2" s="1"/>
  <c r="K25" i="2"/>
  <c r="L25" i="2"/>
  <c r="M25" i="2"/>
  <c r="Q25" i="2"/>
  <c r="R25" i="2"/>
  <c r="E17" i="2"/>
  <c r="N17" i="2"/>
  <c r="F17" i="2"/>
  <c r="O17" i="2"/>
  <c r="G17" i="2"/>
  <c r="P17" i="2"/>
  <c r="K17" i="2"/>
  <c r="D17" i="2"/>
  <c r="L17" i="2"/>
  <c r="R17" i="2"/>
  <c r="M17" i="2"/>
  <c r="Q17" i="2"/>
  <c r="H17" i="2"/>
  <c r="I17" i="2" s="1"/>
  <c r="E9" i="2"/>
  <c r="N9" i="2"/>
  <c r="F9" i="2"/>
  <c r="O9" i="2"/>
  <c r="G9" i="2"/>
  <c r="P9" i="2"/>
  <c r="Q9" i="2"/>
  <c r="R9" i="2"/>
  <c r="D9" i="2"/>
  <c r="H9" i="2"/>
  <c r="I9" i="2" s="1"/>
  <c r="K9" i="2"/>
  <c r="M9" i="2"/>
  <c r="L9" i="2"/>
  <c r="R29" i="2"/>
  <c r="K29" i="2"/>
  <c r="L29" i="2"/>
  <c r="H29" i="2"/>
  <c r="I29" i="2" s="1"/>
  <c r="M29" i="2"/>
  <c r="N29" i="2"/>
  <c r="O29" i="2"/>
  <c r="D29" i="2"/>
  <c r="P29" i="2"/>
  <c r="F29" i="2"/>
  <c r="G29" i="2"/>
  <c r="Q29" i="2"/>
  <c r="E29" i="2"/>
  <c r="K56" i="2"/>
  <c r="L56" i="2"/>
  <c r="F56" i="2"/>
  <c r="D56" i="2"/>
  <c r="M56" i="2"/>
  <c r="E56" i="2"/>
  <c r="N56" i="2"/>
  <c r="O56" i="2"/>
  <c r="P56" i="2"/>
  <c r="Q56" i="2"/>
  <c r="R56" i="2"/>
  <c r="H56" i="2"/>
  <c r="G56" i="2"/>
  <c r="D48" i="2"/>
  <c r="M48" i="2"/>
  <c r="E48" i="2"/>
  <c r="N48" i="2"/>
  <c r="F48" i="2"/>
  <c r="O48" i="2"/>
  <c r="G48" i="2"/>
  <c r="H48" i="2"/>
  <c r="K48" i="2"/>
  <c r="L48" i="2"/>
  <c r="Q48" i="2"/>
  <c r="R48" i="2"/>
  <c r="P48" i="2"/>
  <c r="D40" i="2"/>
  <c r="M40" i="2"/>
  <c r="E40" i="2"/>
  <c r="N40" i="2"/>
  <c r="F40" i="2"/>
  <c r="O40" i="2"/>
  <c r="K40" i="2"/>
  <c r="L40" i="2"/>
  <c r="R40" i="2"/>
  <c r="P40" i="2"/>
  <c r="Q40" i="2"/>
  <c r="G40" i="2"/>
  <c r="H40" i="2"/>
  <c r="D32" i="2"/>
  <c r="M32" i="2"/>
  <c r="E32" i="2"/>
  <c r="N32" i="2"/>
  <c r="F32" i="2"/>
  <c r="O32" i="2"/>
  <c r="Q32" i="2"/>
  <c r="R32" i="2"/>
  <c r="G32" i="2"/>
  <c r="H32" i="2"/>
  <c r="I32" i="2" s="1"/>
  <c r="K32" i="2"/>
  <c r="L32" i="2"/>
  <c r="P32" i="2"/>
  <c r="D24" i="2"/>
  <c r="M24" i="2"/>
  <c r="E24" i="2"/>
  <c r="N24" i="2"/>
  <c r="F24" i="2"/>
  <c r="O24" i="2"/>
  <c r="H24" i="2"/>
  <c r="I24" i="2" s="1"/>
  <c r="P24" i="2"/>
  <c r="K24" i="2"/>
  <c r="Q24" i="2"/>
  <c r="L24" i="2"/>
  <c r="G24" i="2"/>
  <c r="R24" i="2"/>
  <c r="D16" i="2"/>
  <c r="M16" i="2"/>
  <c r="E16" i="2"/>
  <c r="N16" i="2"/>
  <c r="F16" i="2"/>
  <c r="O16" i="2"/>
  <c r="L16" i="2"/>
  <c r="P16" i="2"/>
  <c r="Q16" i="2"/>
  <c r="H16" i="2"/>
  <c r="I16" i="2" s="1"/>
  <c r="R16" i="2"/>
  <c r="G16" i="2"/>
  <c r="K16" i="2"/>
  <c r="R55" i="2"/>
  <c r="K55" i="2"/>
  <c r="E55" i="2"/>
  <c r="L55" i="2"/>
  <c r="D55" i="2"/>
  <c r="M55" i="2"/>
  <c r="N55" i="2"/>
  <c r="G55" i="2"/>
  <c r="F55" i="2"/>
  <c r="O55" i="2"/>
  <c r="P55" i="2"/>
  <c r="Q55" i="2"/>
  <c r="L47" i="2"/>
  <c r="D47" i="2"/>
  <c r="M47" i="2"/>
  <c r="E47" i="2"/>
  <c r="N47" i="2"/>
  <c r="H47" i="2"/>
  <c r="P47" i="2"/>
  <c r="K47" i="2"/>
  <c r="O47" i="2"/>
  <c r="G47" i="2"/>
  <c r="Q47" i="2"/>
  <c r="R47" i="2"/>
  <c r="F47" i="2"/>
  <c r="L39" i="2"/>
  <c r="D39" i="2"/>
  <c r="M39" i="2"/>
  <c r="E39" i="2"/>
  <c r="N39" i="2"/>
  <c r="O39" i="2"/>
  <c r="P39" i="2"/>
  <c r="G39" i="2"/>
  <c r="Q39" i="2"/>
  <c r="F39" i="2"/>
  <c r="R39" i="2"/>
  <c r="H39" i="2"/>
  <c r="K39" i="2"/>
  <c r="L31" i="2"/>
  <c r="D31" i="2"/>
  <c r="M31" i="2"/>
  <c r="E31" i="2"/>
  <c r="N31" i="2"/>
  <c r="F31" i="2"/>
  <c r="R31" i="2"/>
  <c r="G31" i="2"/>
  <c r="H31" i="2"/>
  <c r="I31" i="2" s="1"/>
  <c r="K31" i="2"/>
  <c r="O31" i="2"/>
  <c r="P31" i="2"/>
  <c r="Q31" i="2"/>
  <c r="L23" i="2"/>
  <c r="D23" i="2"/>
  <c r="M23" i="2"/>
  <c r="E23" i="2"/>
  <c r="N23" i="2"/>
  <c r="K23" i="2"/>
  <c r="O23" i="2"/>
  <c r="F23" i="2"/>
  <c r="P23" i="2"/>
  <c r="Q23" i="2"/>
  <c r="R23" i="2"/>
  <c r="G23" i="2"/>
  <c r="H23" i="2"/>
  <c r="I23" i="2" s="1"/>
  <c r="L15" i="2"/>
  <c r="D15" i="2"/>
  <c r="M15" i="2"/>
  <c r="E15" i="2"/>
  <c r="N15" i="2"/>
  <c r="P15" i="2"/>
  <c r="Q15" i="2"/>
  <c r="H15" i="2"/>
  <c r="I15" i="2" s="1"/>
  <c r="F15" i="2"/>
  <c r="R15" i="2"/>
  <c r="G15" i="2"/>
  <c r="K15" i="2"/>
  <c r="O15" i="2"/>
  <c r="H54" i="2"/>
  <c r="Q54" i="2"/>
  <c r="D54" i="2"/>
  <c r="R54" i="2"/>
  <c r="K54" i="2"/>
  <c r="M54" i="2"/>
  <c r="L54" i="2"/>
  <c r="E54" i="2"/>
  <c r="F54" i="2"/>
  <c r="O54" i="2"/>
  <c r="G54" i="2"/>
  <c r="N54" i="2"/>
  <c r="P54" i="2"/>
  <c r="K46" i="2"/>
  <c r="L46" i="2"/>
  <c r="D46" i="2"/>
  <c r="M46" i="2"/>
  <c r="N46" i="2"/>
  <c r="E46" i="2"/>
  <c r="P46" i="2"/>
  <c r="Q46" i="2"/>
  <c r="R46" i="2"/>
  <c r="F46" i="2"/>
  <c r="G46" i="2"/>
  <c r="H46" i="2"/>
  <c r="K38" i="2"/>
  <c r="L38" i="2"/>
  <c r="D38" i="2"/>
  <c r="M38" i="2"/>
  <c r="P38" i="2"/>
  <c r="E38" i="2"/>
  <c r="Q38" i="2"/>
  <c r="F38" i="2"/>
  <c r="R38" i="2"/>
  <c r="G38" i="2"/>
  <c r="H38" i="2"/>
  <c r="N38" i="2"/>
  <c r="O38" i="2"/>
  <c r="K30" i="2"/>
  <c r="L30" i="2"/>
  <c r="D30" i="2"/>
  <c r="M30" i="2"/>
  <c r="G30" i="2"/>
  <c r="H30" i="2"/>
  <c r="I30" i="2" s="1"/>
  <c r="O30" i="2"/>
  <c r="N30" i="2"/>
  <c r="Q30" i="2"/>
  <c r="E30" i="2"/>
  <c r="R30" i="2"/>
  <c r="F30" i="2"/>
  <c r="P30" i="2"/>
  <c r="K22" i="2"/>
  <c r="L22" i="2"/>
  <c r="D22" i="2"/>
  <c r="M22" i="2"/>
  <c r="N22" i="2"/>
  <c r="G22" i="2"/>
  <c r="O22" i="2"/>
  <c r="R22" i="2"/>
  <c r="P22" i="2"/>
  <c r="E22" i="2"/>
  <c r="Q22" i="2"/>
  <c r="F22" i="2"/>
  <c r="H22" i="2"/>
  <c r="I22" i="2" s="1"/>
  <c r="K14" i="2"/>
  <c r="L14" i="2"/>
  <c r="D14" i="2"/>
  <c r="M14" i="2"/>
  <c r="E14" i="2"/>
  <c r="Q14" i="2"/>
  <c r="F14" i="2"/>
  <c r="R14" i="2"/>
  <c r="G14" i="2"/>
  <c r="N14" i="2"/>
  <c r="H14" i="2"/>
  <c r="I14" i="2" s="1"/>
  <c r="O14" i="2"/>
  <c r="P14" i="2"/>
  <c r="C157" i="2"/>
  <c r="C133" i="2"/>
  <c r="C117" i="2"/>
  <c r="C101" i="2"/>
  <c r="C165" i="2"/>
  <c r="C149" i="2"/>
  <c r="C141" i="2"/>
  <c r="C125" i="2"/>
  <c r="C109" i="2"/>
  <c r="C76" i="2"/>
  <c r="D438" i="2"/>
  <c r="D374" i="2"/>
  <c r="D310" i="2"/>
  <c r="D246" i="2"/>
  <c r="D182" i="2"/>
  <c r="D118" i="2"/>
  <c r="D494" i="2"/>
  <c r="D430" i="2"/>
  <c r="D366" i="2"/>
  <c r="D302" i="2"/>
  <c r="D238" i="2"/>
  <c r="D174" i="2"/>
  <c r="D110" i="2"/>
  <c r="D486" i="2"/>
  <c r="D422" i="2"/>
  <c r="D358" i="2"/>
  <c r="D230" i="2"/>
  <c r="D166" i="2"/>
  <c r="D470" i="2"/>
  <c r="D406" i="2"/>
  <c r="D342" i="2"/>
  <c r="D278" i="2"/>
  <c r="D214" i="2"/>
  <c r="D150" i="2"/>
  <c r="D94" i="2"/>
  <c r="D478" i="2"/>
  <c r="D158" i="2"/>
  <c r="D462" i="2"/>
  <c r="D398" i="2"/>
  <c r="D334" i="2"/>
  <c r="D270" i="2"/>
  <c r="D206" i="2"/>
  <c r="D142" i="2"/>
  <c r="D86" i="2"/>
  <c r="D414" i="2"/>
  <c r="D102" i="2"/>
  <c r="D454" i="2"/>
  <c r="D390" i="2"/>
  <c r="D326" i="2"/>
  <c r="D262" i="2"/>
  <c r="D198" i="2"/>
  <c r="D134" i="2"/>
  <c r="D78" i="2"/>
  <c r="D350" i="2"/>
  <c r="D286" i="2"/>
  <c r="D446" i="2"/>
  <c r="D382" i="2"/>
  <c r="D318" i="2"/>
  <c r="D254" i="2"/>
  <c r="D190" i="2"/>
  <c r="D126" i="2"/>
  <c r="D76" i="2"/>
  <c r="D293" i="2"/>
  <c r="D261" i="2"/>
  <c r="D245" i="2"/>
  <c r="D229" i="2"/>
  <c r="D213" i="2"/>
  <c r="D197" i="2"/>
  <c r="D165" i="2"/>
  <c r="D157" i="2"/>
  <c r="D149" i="2"/>
  <c r="D141" i="2"/>
  <c r="D133" i="2"/>
  <c r="D125" i="2"/>
  <c r="D117" i="2"/>
  <c r="D109" i="2"/>
  <c r="D101" i="2"/>
  <c r="D93" i="2"/>
  <c r="D85" i="2"/>
  <c r="D77" i="2"/>
  <c r="D388" i="2"/>
  <c r="D491" i="2"/>
  <c r="D483" i="2"/>
  <c r="D475" i="2"/>
  <c r="D467" i="2"/>
  <c r="D459" i="2"/>
  <c r="D451" i="2"/>
  <c r="D443" i="2"/>
  <c r="D435" i="2"/>
  <c r="D427" i="2"/>
  <c r="D419" i="2"/>
  <c r="D411" i="2"/>
  <c r="D403" i="2"/>
  <c r="D395" i="2"/>
  <c r="D387" i="2"/>
  <c r="D379" i="2"/>
  <c r="D371" i="2"/>
  <c r="D363" i="2"/>
  <c r="D347" i="2"/>
  <c r="D339" i="2"/>
  <c r="D331" i="2"/>
  <c r="D323" i="2"/>
  <c r="D315" i="2"/>
  <c r="D307" i="2"/>
  <c r="D299" i="2"/>
  <c r="D291" i="2"/>
  <c r="D283" i="2"/>
  <c r="D275" i="2"/>
  <c r="D267" i="2"/>
  <c r="D259" i="2"/>
  <c r="D251" i="2"/>
  <c r="D243" i="2"/>
  <c r="D235" i="2"/>
  <c r="D227" i="2"/>
  <c r="D219" i="2"/>
  <c r="D211" i="2"/>
  <c r="D203" i="2"/>
  <c r="D195" i="2"/>
  <c r="D187" i="2"/>
  <c r="D179" i="2"/>
  <c r="D99" i="2"/>
  <c r="D91" i="2"/>
  <c r="D83" i="2"/>
  <c r="D75" i="2"/>
  <c r="D476" i="2"/>
  <c r="D428" i="2"/>
  <c r="D396" i="2"/>
  <c r="D356" i="2"/>
  <c r="D204" i="2"/>
  <c r="D84" i="2"/>
  <c r="D490" i="2"/>
  <c r="D482" i="2"/>
  <c r="D474" i="2"/>
  <c r="D466" i="2"/>
  <c r="D458" i="2"/>
  <c r="D450" i="2"/>
  <c r="D442" i="2"/>
  <c r="D434" i="2"/>
  <c r="D426" i="2"/>
  <c r="D418" i="2"/>
  <c r="D410" i="2"/>
  <c r="D402" i="2"/>
  <c r="D394" i="2"/>
  <c r="D386" i="2"/>
  <c r="D378" i="2"/>
  <c r="D370" i="2"/>
  <c r="D362" i="2"/>
  <c r="D354" i="2"/>
  <c r="D346" i="2"/>
  <c r="D338" i="2"/>
  <c r="D330" i="2"/>
  <c r="D322" i="2"/>
  <c r="D314" i="2"/>
  <c r="D306" i="2"/>
  <c r="D298" i="2"/>
  <c r="D290" i="2"/>
  <c r="D282" i="2"/>
  <c r="D274" i="2"/>
  <c r="D266" i="2"/>
  <c r="D250" i="2"/>
  <c r="D242" i="2"/>
  <c r="D226" i="2"/>
  <c r="D218" i="2"/>
  <c r="D210" i="2"/>
  <c r="D202" i="2"/>
  <c r="D194" i="2"/>
  <c r="D186" i="2"/>
  <c r="D178" i="2"/>
  <c r="D170" i="2"/>
  <c r="D162" i="2"/>
  <c r="D154" i="2"/>
  <c r="D146" i="2"/>
  <c r="D138" i="2"/>
  <c r="D130" i="2"/>
  <c r="D122" i="2"/>
  <c r="D114" i="2"/>
  <c r="D106" i="2"/>
  <c r="D98" i="2"/>
  <c r="D82" i="2"/>
  <c r="D74" i="2"/>
  <c r="D452" i="2"/>
  <c r="D420" i="2"/>
  <c r="D380" i="2"/>
  <c r="D348" i="2"/>
  <c r="D212" i="2"/>
  <c r="D148" i="2"/>
  <c r="D305" i="2"/>
  <c r="D257" i="2"/>
  <c r="D233" i="2"/>
  <c r="D201" i="2"/>
  <c r="D89" i="2"/>
  <c r="D81" i="2"/>
  <c r="D484" i="2"/>
  <c r="D468" i="2"/>
  <c r="D444" i="2"/>
  <c r="D412" i="2"/>
  <c r="D364" i="2"/>
  <c r="D196" i="2"/>
  <c r="D164" i="2"/>
  <c r="D496" i="2"/>
  <c r="D488" i="2"/>
  <c r="D480" i="2"/>
  <c r="D472" i="2"/>
  <c r="D464" i="2"/>
  <c r="D456" i="2"/>
  <c r="D448" i="2"/>
  <c r="D440" i="2"/>
  <c r="D432" i="2"/>
  <c r="D424" i="2"/>
  <c r="D416" i="2"/>
  <c r="D408" i="2"/>
  <c r="D400" i="2"/>
  <c r="D392" i="2"/>
  <c r="D384" i="2"/>
  <c r="D376" i="2"/>
  <c r="D368" i="2"/>
  <c r="D360" i="2"/>
  <c r="D352" i="2"/>
  <c r="D344" i="2"/>
  <c r="D336" i="2"/>
  <c r="D328" i="2"/>
  <c r="D320" i="2"/>
  <c r="D312" i="2"/>
  <c r="D304" i="2"/>
  <c r="D296" i="2"/>
  <c r="D288" i="2"/>
  <c r="D280" i="2"/>
  <c r="D272" i="2"/>
  <c r="D264" i="2"/>
  <c r="D256" i="2"/>
  <c r="D248" i="2"/>
  <c r="D240" i="2"/>
  <c r="D232" i="2"/>
  <c r="D184" i="2"/>
  <c r="D176" i="2"/>
  <c r="D144" i="2"/>
  <c r="D136" i="2"/>
  <c r="D128" i="2"/>
  <c r="D120" i="2"/>
  <c r="D112" i="2"/>
  <c r="D104" i="2"/>
  <c r="D96" i="2"/>
  <c r="D492" i="2"/>
  <c r="D460" i="2"/>
  <c r="D436" i="2"/>
  <c r="D404" i="2"/>
  <c r="D372" i="2"/>
  <c r="D220" i="2"/>
  <c r="D188" i="2"/>
  <c r="D156" i="2"/>
  <c r="D495" i="2"/>
  <c r="D487" i="2"/>
  <c r="D479" i="2"/>
  <c r="D471" i="2"/>
  <c r="D463" i="2"/>
  <c r="D455" i="2"/>
  <c r="D447" i="2"/>
  <c r="D431" i="2"/>
  <c r="D423" i="2"/>
  <c r="D415" i="2"/>
  <c r="D407" i="2"/>
  <c r="D391" i="2"/>
  <c r="D383" i="2"/>
  <c r="D367" i="2"/>
  <c r="D359" i="2"/>
  <c r="D351" i="2"/>
  <c r="D343" i="2"/>
  <c r="D335" i="2"/>
  <c r="D327" i="2"/>
  <c r="D319" i="2"/>
  <c r="D311" i="2"/>
  <c r="D303" i="2"/>
  <c r="D295" i="2"/>
  <c r="D287" i="2"/>
  <c r="D279" i="2"/>
  <c r="D271" i="2"/>
  <c r="D263" i="2"/>
  <c r="D255" i="2"/>
  <c r="D247" i="2"/>
  <c r="D239" i="2"/>
  <c r="D231" i="2"/>
  <c r="D223" i="2"/>
  <c r="D215" i="2"/>
  <c r="D207" i="2"/>
  <c r="D199" i="2"/>
  <c r="D191" i="2"/>
  <c r="D183" i="2"/>
  <c r="D175" i="2"/>
  <c r="D167" i="2"/>
  <c r="D159" i="2"/>
  <c r="D151" i="2"/>
  <c r="D143" i="2"/>
  <c r="D135" i="2"/>
  <c r="D127" i="2"/>
  <c r="D119" i="2"/>
  <c r="D111" i="2"/>
  <c r="D95" i="2"/>
  <c r="D87" i="2"/>
  <c r="D68" i="2"/>
  <c r="D62" i="2"/>
  <c r="D60" i="2"/>
  <c r="D67" i="2"/>
  <c r="D66" i="2"/>
  <c r="D73" i="2"/>
  <c r="D65" i="2"/>
  <c r="D71" i="2"/>
  <c r="D63" i="2"/>
  <c r="D69" i="2"/>
  <c r="N494" i="2"/>
  <c r="M490" i="2"/>
  <c r="Q486" i="2"/>
  <c r="N482" i="2"/>
  <c r="R478" i="2"/>
  <c r="R474" i="2"/>
  <c r="R470" i="2"/>
  <c r="R467" i="2"/>
  <c r="H463" i="2"/>
  <c r="R459" i="2"/>
  <c r="N454" i="2"/>
  <c r="H450" i="2"/>
  <c r="H446" i="2"/>
  <c r="R438" i="2"/>
  <c r="M434" i="2"/>
  <c r="N430" i="2"/>
  <c r="G426" i="2"/>
  <c r="M418" i="2"/>
  <c r="N410" i="2"/>
  <c r="R406" i="2"/>
  <c r="Q402" i="2"/>
  <c r="G398" i="2"/>
  <c r="M386" i="2"/>
  <c r="Q382" i="2"/>
  <c r="N378" i="2"/>
  <c r="Q370" i="2"/>
  <c r="R366" i="2"/>
  <c r="M362" i="2"/>
  <c r="R354" i="2"/>
  <c r="H350" i="2"/>
  <c r="H343" i="2"/>
  <c r="R334" i="2"/>
  <c r="G330" i="2"/>
  <c r="R318" i="2"/>
  <c r="H310" i="2"/>
  <c r="R278" i="2"/>
  <c r="Q182" i="2"/>
  <c r="O154" i="2"/>
  <c r="O126" i="2"/>
  <c r="O102" i="2"/>
  <c r="H494" i="2"/>
  <c r="H490" i="2"/>
  <c r="N486" i="2"/>
  <c r="M482" i="2"/>
  <c r="N478" i="2"/>
  <c r="M474" i="2"/>
  <c r="Q470" i="2"/>
  <c r="N466" i="2"/>
  <c r="R462" i="2"/>
  <c r="Q458" i="2"/>
  <c r="H454" i="2"/>
  <c r="G450" i="2"/>
  <c r="H443" i="2"/>
  <c r="N438" i="2"/>
  <c r="H434" i="2"/>
  <c r="G430" i="2"/>
  <c r="N422" i="2"/>
  <c r="G418" i="2"/>
  <c r="M410" i="2"/>
  <c r="M406" i="2"/>
  <c r="G402" i="2"/>
  <c r="R395" i="2"/>
  <c r="N390" i="2"/>
  <c r="H386" i="2"/>
  <c r="H382" i="2"/>
  <c r="R374" i="2"/>
  <c r="M370" i="2"/>
  <c r="N366" i="2"/>
  <c r="G362" i="2"/>
  <c r="M354" i="2"/>
  <c r="N346" i="2"/>
  <c r="R342" i="2"/>
  <c r="Q334" i="2"/>
  <c r="G326" i="2"/>
  <c r="Q318" i="2"/>
  <c r="G310" i="2"/>
  <c r="Q242" i="2"/>
  <c r="H206" i="2"/>
  <c r="O146" i="2"/>
  <c r="O122" i="2"/>
  <c r="N82" i="2"/>
  <c r="H495" i="2"/>
  <c r="H491" i="2"/>
  <c r="G490" i="2"/>
  <c r="G486" i="2"/>
  <c r="G482" i="2"/>
  <c r="H478" i="2"/>
  <c r="H474" i="2"/>
  <c r="N470" i="2"/>
  <c r="M466" i="2"/>
  <c r="N462" i="2"/>
  <c r="M458" i="2"/>
  <c r="R451" i="2"/>
  <c r="R446" i="2"/>
  <c r="Q442" i="2"/>
  <c r="N431" i="2"/>
  <c r="N427" i="2"/>
  <c r="H422" i="2"/>
  <c r="N414" i="2"/>
  <c r="R398" i="2"/>
  <c r="Q394" i="2"/>
  <c r="H390" i="2"/>
  <c r="G386" i="2"/>
  <c r="H379" i="2"/>
  <c r="N374" i="2"/>
  <c r="G366" i="2"/>
  <c r="N358" i="2"/>
  <c r="G354" i="2"/>
  <c r="M346" i="2"/>
  <c r="G342" i="2"/>
  <c r="R322" i="2"/>
  <c r="H314" i="2"/>
  <c r="R306" i="2"/>
  <c r="H274" i="2"/>
  <c r="H238" i="2"/>
  <c r="R218" i="2"/>
  <c r="O170" i="2"/>
  <c r="O142" i="2"/>
  <c r="O110" i="2"/>
  <c r="O78" i="2"/>
  <c r="R494" i="2"/>
  <c r="R490" i="2"/>
  <c r="R486" i="2"/>
  <c r="R483" i="2"/>
  <c r="H479" i="2"/>
  <c r="H475" i="2"/>
  <c r="G474" i="2"/>
  <c r="G470" i="2"/>
  <c r="G466" i="2"/>
  <c r="H462" i="2"/>
  <c r="N455" i="2"/>
  <c r="M450" i="2"/>
  <c r="Q446" i="2"/>
  <c r="N442" i="2"/>
  <c r="R430" i="2"/>
  <c r="M426" i="2"/>
  <c r="R418" i="2"/>
  <c r="H414" i="2"/>
  <c r="H407" i="2"/>
  <c r="R402" i="2"/>
  <c r="Q398" i="2"/>
  <c r="M394" i="2"/>
  <c r="R387" i="2"/>
  <c r="R382" i="2"/>
  <c r="Q378" i="2"/>
  <c r="N367" i="2"/>
  <c r="N363" i="2"/>
  <c r="H358" i="2"/>
  <c r="N350" i="2"/>
  <c r="G338" i="2"/>
  <c r="Q330" i="2"/>
  <c r="Q322" i="2"/>
  <c r="R310" i="2"/>
  <c r="Q306" i="2"/>
  <c r="G250" i="2"/>
  <c r="O166" i="2"/>
  <c r="O134" i="2"/>
  <c r="O106" i="2"/>
  <c r="H62" i="2"/>
  <c r="N483" i="2"/>
  <c r="N467" i="2"/>
  <c r="H427" i="2"/>
  <c r="R411" i="2"/>
  <c r="H363" i="2"/>
  <c r="R351" i="2"/>
  <c r="R347" i="2"/>
  <c r="N495" i="2"/>
  <c r="M494" i="2"/>
  <c r="Q490" i="2"/>
  <c r="R487" i="2"/>
  <c r="H486" i="2"/>
  <c r="Q482" i="2"/>
  <c r="N479" i="2"/>
  <c r="M478" i="2"/>
  <c r="Q474" i="2"/>
  <c r="R471" i="2"/>
  <c r="H470" i="2"/>
  <c r="Q466" i="2"/>
  <c r="N463" i="2"/>
  <c r="M462" i="2"/>
  <c r="N411" i="2"/>
  <c r="N347" i="2"/>
  <c r="Q338" i="2"/>
  <c r="H334" i="2"/>
  <c r="H326" i="2"/>
  <c r="G322" i="2"/>
  <c r="G314" i="2"/>
  <c r="O158" i="2"/>
  <c r="O138" i="2"/>
  <c r="O114" i="2"/>
  <c r="O94" i="2"/>
  <c r="H317" i="2"/>
  <c r="N317" i="2"/>
  <c r="M317" i="2"/>
  <c r="E497" i="2"/>
  <c r="N497" i="2"/>
  <c r="G497" i="2"/>
  <c r="H497" i="2"/>
  <c r="M497" i="2"/>
  <c r="Q497" i="2"/>
  <c r="R497" i="2"/>
  <c r="E493" i="2"/>
  <c r="M493" i="2"/>
  <c r="N493" i="2"/>
  <c r="Q493" i="2"/>
  <c r="H493" i="2"/>
  <c r="R493" i="2"/>
  <c r="G493" i="2"/>
  <c r="E489" i="2"/>
  <c r="H489" i="2"/>
  <c r="R489" i="2"/>
  <c r="M489" i="2"/>
  <c r="G489" i="2"/>
  <c r="Q489" i="2"/>
  <c r="N489" i="2"/>
  <c r="E485" i="2"/>
  <c r="G485" i="2"/>
  <c r="Q485" i="2"/>
  <c r="R485" i="2"/>
  <c r="N485" i="2"/>
  <c r="H485" i="2"/>
  <c r="M485" i="2"/>
  <c r="E481" i="2"/>
  <c r="N481" i="2"/>
  <c r="Q481" i="2"/>
  <c r="R481" i="2"/>
  <c r="M481" i="2"/>
  <c r="G481" i="2"/>
  <c r="H481" i="2"/>
  <c r="E477" i="2"/>
  <c r="M477" i="2"/>
  <c r="N477" i="2"/>
  <c r="G477" i="2"/>
  <c r="Q477" i="2"/>
  <c r="H477" i="2"/>
  <c r="R477" i="2"/>
  <c r="E473" i="2"/>
  <c r="H473" i="2"/>
  <c r="R473" i="2"/>
  <c r="M473" i="2"/>
  <c r="N473" i="2"/>
  <c r="G473" i="2"/>
  <c r="Q473" i="2"/>
  <c r="E469" i="2"/>
  <c r="G469" i="2"/>
  <c r="Q469" i="2"/>
  <c r="R469" i="2"/>
  <c r="M469" i="2"/>
  <c r="N469" i="2"/>
  <c r="H469" i="2"/>
  <c r="E465" i="2"/>
  <c r="N465" i="2"/>
  <c r="G465" i="2"/>
  <c r="H465" i="2"/>
  <c r="R465" i="2"/>
  <c r="M465" i="2"/>
  <c r="Q465" i="2"/>
  <c r="E461" i="2"/>
  <c r="G461" i="2"/>
  <c r="M461" i="2"/>
  <c r="N461" i="2"/>
  <c r="Q461" i="2"/>
  <c r="H461" i="2"/>
  <c r="R461" i="2"/>
  <c r="E457" i="2"/>
  <c r="N457" i="2"/>
  <c r="H457" i="2"/>
  <c r="G457" i="2"/>
  <c r="R457" i="2"/>
  <c r="M457" i="2"/>
  <c r="Q457" i="2"/>
  <c r="E453" i="2"/>
  <c r="M453" i="2"/>
  <c r="G453" i="2"/>
  <c r="R453" i="2"/>
  <c r="N453" i="2"/>
  <c r="Q453" i="2"/>
  <c r="H453" i="2"/>
  <c r="E449" i="2"/>
  <c r="H449" i="2"/>
  <c r="R449" i="2"/>
  <c r="Q449" i="2"/>
  <c r="G449" i="2"/>
  <c r="N449" i="2"/>
  <c r="M449" i="2"/>
  <c r="E445" i="2"/>
  <c r="G445" i="2"/>
  <c r="Q445" i="2"/>
  <c r="N445" i="2"/>
  <c r="R445" i="2"/>
  <c r="M445" i="2"/>
  <c r="H445" i="2"/>
  <c r="E441" i="2"/>
  <c r="N441" i="2"/>
  <c r="M441" i="2"/>
  <c r="H441" i="2"/>
  <c r="Q441" i="2"/>
  <c r="G441" i="2"/>
  <c r="R441" i="2"/>
  <c r="E437" i="2"/>
  <c r="M437" i="2"/>
  <c r="H437" i="2"/>
  <c r="N437" i="2"/>
  <c r="Q437" i="2"/>
  <c r="G437" i="2"/>
  <c r="R437" i="2"/>
  <c r="E433" i="2"/>
  <c r="H433" i="2"/>
  <c r="R433" i="2"/>
  <c r="G433" i="2"/>
  <c r="M433" i="2"/>
  <c r="Q433" i="2"/>
  <c r="N433" i="2"/>
  <c r="E429" i="2"/>
  <c r="G429" i="2"/>
  <c r="Q429" i="2"/>
  <c r="R429" i="2"/>
  <c r="H429" i="2"/>
  <c r="M429" i="2"/>
  <c r="N429" i="2"/>
  <c r="E425" i="2"/>
  <c r="N425" i="2"/>
  <c r="Q425" i="2"/>
  <c r="H425" i="2"/>
  <c r="M425" i="2"/>
  <c r="G425" i="2"/>
  <c r="R425" i="2"/>
  <c r="E421" i="2"/>
  <c r="M421" i="2"/>
  <c r="N421" i="2"/>
  <c r="G421" i="2"/>
  <c r="R421" i="2"/>
  <c r="H421" i="2"/>
  <c r="Q421" i="2"/>
  <c r="E417" i="2"/>
  <c r="H417" i="2"/>
  <c r="R417" i="2"/>
  <c r="M417" i="2"/>
  <c r="G417" i="2"/>
  <c r="N417" i="2"/>
  <c r="Q417" i="2"/>
  <c r="E413" i="2"/>
  <c r="G413" i="2"/>
  <c r="Q413" i="2"/>
  <c r="H413" i="2"/>
  <c r="M413" i="2"/>
  <c r="N413" i="2"/>
  <c r="R413" i="2"/>
  <c r="E409" i="2"/>
  <c r="N409" i="2"/>
  <c r="G409" i="2"/>
  <c r="R409" i="2"/>
  <c r="Q409" i="2"/>
  <c r="H409" i="2"/>
  <c r="M409" i="2"/>
  <c r="E405" i="2"/>
  <c r="M405" i="2"/>
  <c r="Q405" i="2"/>
  <c r="G405" i="2"/>
  <c r="H405" i="2"/>
  <c r="N405" i="2"/>
  <c r="R405" i="2"/>
  <c r="E401" i="2"/>
  <c r="H401" i="2"/>
  <c r="R401" i="2"/>
  <c r="N401" i="2"/>
  <c r="Q401" i="2"/>
  <c r="M401" i="2"/>
  <c r="G401" i="2"/>
  <c r="E397" i="2"/>
  <c r="G397" i="2"/>
  <c r="Q397" i="2"/>
  <c r="M397" i="2"/>
  <c r="N397" i="2"/>
  <c r="H397" i="2"/>
  <c r="R397" i="2"/>
  <c r="E393" i="2"/>
  <c r="N393" i="2"/>
  <c r="H393" i="2"/>
  <c r="M393" i="2"/>
  <c r="Q393" i="2"/>
  <c r="G393" i="2"/>
  <c r="R393" i="2"/>
  <c r="E389" i="2"/>
  <c r="M389" i="2"/>
  <c r="G389" i="2"/>
  <c r="R389" i="2"/>
  <c r="H389" i="2"/>
  <c r="Q389" i="2"/>
  <c r="N389" i="2"/>
  <c r="E385" i="2"/>
  <c r="H385" i="2"/>
  <c r="R385" i="2"/>
  <c r="Q385" i="2"/>
  <c r="G385" i="2"/>
  <c r="M385" i="2"/>
  <c r="N385" i="2"/>
  <c r="E381" i="2"/>
  <c r="G381" i="2"/>
  <c r="Q381" i="2"/>
  <c r="N381" i="2"/>
  <c r="R381" i="2"/>
  <c r="M381" i="2"/>
  <c r="H381" i="2"/>
  <c r="E377" i="2"/>
  <c r="N377" i="2"/>
  <c r="M377" i="2"/>
  <c r="G377" i="2"/>
  <c r="H377" i="2"/>
  <c r="Q377" i="2"/>
  <c r="R377" i="2"/>
  <c r="E373" i="2"/>
  <c r="M373" i="2"/>
  <c r="H373" i="2"/>
  <c r="Q373" i="2"/>
  <c r="G373" i="2"/>
  <c r="R373" i="2"/>
  <c r="N373" i="2"/>
  <c r="E369" i="2"/>
  <c r="H369" i="2"/>
  <c r="R369" i="2"/>
  <c r="G369" i="2"/>
  <c r="M369" i="2"/>
  <c r="Q369" i="2"/>
  <c r="N369" i="2"/>
  <c r="E365" i="2"/>
  <c r="G365" i="2"/>
  <c r="Q365" i="2"/>
  <c r="R365" i="2"/>
  <c r="H365" i="2"/>
  <c r="M365" i="2"/>
  <c r="N365" i="2"/>
  <c r="E361" i="2"/>
  <c r="N361" i="2"/>
  <c r="Q361" i="2"/>
  <c r="G361" i="2"/>
  <c r="R361" i="2"/>
  <c r="M361" i="2"/>
  <c r="H361" i="2"/>
  <c r="E357" i="2"/>
  <c r="M357" i="2"/>
  <c r="N357" i="2"/>
  <c r="Q357" i="2"/>
  <c r="G357" i="2"/>
  <c r="H357" i="2"/>
  <c r="R357" i="2"/>
  <c r="E353" i="2"/>
  <c r="H353" i="2"/>
  <c r="R353" i="2"/>
  <c r="M353" i="2"/>
  <c r="N353" i="2"/>
  <c r="Q353" i="2"/>
  <c r="G353" i="2"/>
  <c r="E349" i="2"/>
  <c r="G349" i="2"/>
  <c r="Q349" i="2"/>
  <c r="H349" i="2"/>
  <c r="M349" i="2"/>
  <c r="R349" i="2"/>
  <c r="N349" i="2"/>
  <c r="E345" i="2"/>
  <c r="N345" i="2"/>
  <c r="G345" i="2"/>
  <c r="R345" i="2"/>
  <c r="Q345" i="2"/>
  <c r="H345" i="2"/>
  <c r="M345" i="2"/>
  <c r="H341" i="2"/>
  <c r="M341" i="2"/>
  <c r="N341" i="2"/>
  <c r="H337" i="2"/>
  <c r="M337" i="2"/>
  <c r="N337" i="2"/>
  <c r="H333" i="2"/>
  <c r="N333" i="2"/>
  <c r="M333" i="2"/>
  <c r="H329" i="2"/>
  <c r="N329" i="2"/>
  <c r="M329" i="2"/>
  <c r="H325" i="2"/>
  <c r="M325" i="2"/>
  <c r="N325" i="2"/>
  <c r="H321" i="2"/>
  <c r="N321" i="2"/>
  <c r="M321" i="2"/>
  <c r="N305" i="2"/>
  <c r="M197" i="2"/>
  <c r="L117" i="2"/>
  <c r="M305" i="2"/>
  <c r="N261" i="2"/>
  <c r="H93" i="2"/>
  <c r="E439" i="2"/>
  <c r="R439" i="2"/>
  <c r="E435" i="2"/>
  <c r="N435" i="2"/>
  <c r="E431" i="2"/>
  <c r="H431" i="2"/>
  <c r="E391" i="2"/>
  <c r="R391" i="2"/>
  <c r="E387" i="2"/>
  <c r="N387" i="2"/>
  <c r="E383" i="2"/>
  <c r="H383" i="2"/>
  <c r="E375" i="2"/>
  <c r="R375" i="2"/>
  <c r="E371" i="2"/>
  <c r="N371" i="2"/>
  <c r="E367" i="2"/>
  <c r="H367" i="2"/>
  <c r="E359" i="2"/>
  <c r="R359" i="2"/>
  <c r="E343" i="2"/>
  <c r="R343" i="2"/>
  <c r="H483" i="2"/>
  <c r="R475" i="2"/>
  <c r="H467" i="2"/>
  <c r="N459" i="2"/>
  <c r="R443" i="2"/>
  <c r="H411" i="2"/>
  <c r="N395" i="2"/>
  <c r="H391" i="2"/>
  <c r="R379" i="2"/>
  <c r="N375" i="2"/>
  <c r="H347" i="2"/>
  <c r="L133" i="2"/>
  <c r="O89" i="2"/>
  <c r="K69" i="2"/>
  <c r="B69" i="2" s="1"/>
  <c r="H313" i="2"/>
  <c r="N313" i="2"/>
  <c r="H309" i="2"/>
  <c r="M309" i="2"/>
  <c r="H301" i="2"/>
  <c r="M301" i="2"/>
  <c r="N301" i="2"/>
  <c r="H297" i="2"/>
  <c r="M297" i="2"/>
  <c r="H289" i="2"/>
  <c r="N289" i="2"/>
  <c r="H285" i="2"/>
  <c r="M285" i="2"/>
  <c r="N285" i="2"/>
  <c r="H281" i="2"/>
  <c r="M281" i="2"/>
  <c r="N281" i="2"/>
  <c r="H277" i="2"/>
  <c r="M277" i="2"/>
  <c r="H273" i="2"/>
  <c r="N273" i="2"/>
  <c r="H269" i="2"/>
  <c r="M269" i="2"/>
  <c r="N269" i="2"/>
  <c r="H265" i="2"/>
  <c r="M265" i="2"/>
  <c r="H257" i="2"/>
  <c r="N257" i="2"/>
  <c r="H253" i="2"/>
  <c r="M253" i="2"/>
  <c r="N253" i="2"/>
  <c r="H249" i="2"/>
  <c r="M249" i="2"/>
  <c r="N249" i="2"/>
  <c r="H245" i="2"/>
  <c r="M245" i="2"/>
  <c r="H241" i="2"/>
  <c r="N241" i="2"/>
  <c r="H237" i="2"/>
  <c r="M237" i="2"/>
  <c r="N237" i="2"/>
  <c r="H233" i="2"/>
  <c r="M233" i="2"/>
  <c r="H225" i="2"/>
  <c r="N225" i="2"/>
  <c r="H221" i="2"/>
  <c r="M221" i="2"/>
  <c r="N221" i="2"/>
  <c r="H217" i="2"/>
  <c r="M217" i="2"/>
  <c r="N217" i="2"/>
  <c r="H213" i="2"/>
  <c r="M213" i="2"/>
  <c r="H209" i="2"/>
  <c r="N209" i="2"/>
  <c r="H205" i="2"/>
  <c r="M205" i="2"/>
  <c r="N205" i="2"/>
  <c r="H201" i="2"/>
  <c r="M201" i="2"/>
  <c r="H193" i="2"/>
  <c r="N193" i="2"/>
  <c r="H189" i="2"/>
  <c r="M189" i="2"/>
  <c r="N189" i="2"/>
  <c r="H185" i="2"/>
  <c r="M185" i="2"/>
  <c r="N185" i="2"/>
  <c r="H181" i="2"/>
  <c r="M181" i="2"/>
  <c r="H177" i="2"/>
  <c r="N177" i="2"/>
  <c r="H173" i="2"/>
  <c r="M173" i="2"/>
  <c r="K169" i="2"/>
  <c r="B169" i="2" s="1"/>
  <c r="L169" i="2"/>
  <c r="K161" i="2"/>
  <c r="B161" i="2" s="1"/>
  <c r="L161" i="2"/>
  <c r="K153" i="2"/>
  <c r="B153" i="2" s="1"/>
  <c r="L153" i="2"/>
  <c r="K145" i="2"/>
  <c r="B145" i="2" s="1"/>
  <c r="L145" i="2"/>
  <c r="K137" i="2"/>
  <c r="B137" i="2" s="1"/>
  <c r="L137" i="2"/>
  <c r="K129" i="2"/>
  <c r="B129" i="2" s="1"/>
  <c r="L129" i="2"/>
  <c r="K121" i="2"/>
  <c r="B121" i="2" s="1"/>
  <c r="L121" i="2"/>
  <c r="K113" i="2"/>
  <c r="B113" i="2" s="1"/>
  <c r="L113" i="2"/>
  <c r="K105" i="2"/>
  <c r="B105" i="2" s="1"/>
  <c r="L105" i="2"/>
  <c r="K97" i="2"/>
  <c r="B97" i="2" s="1"/>
  <c r="L97" i="2"/>
  <c r="N293" i="2"/>
  <c r="M209" i="2"/>
  <c r="L149" i="2"/>
  <c r="M293" i="2"/>
  <c r="M225" i="2"/>
  <c r="M177" i="2"/>
  <c r="L157" i="2"/>
  <c r="L125" i="2"/>
  <c r="E455" i="2"/>
  <c r="R455" i="2"/>
  <c r="E451" i="2"/>
  <c r="N451" i="2"/>
  <c r="E447" i="2"/>
  <c r="H447" i="2"/>
  <c r="E423" i="2"/>
  <c r="R423" i="2"/>
  <c r="E419" i="2"/>
  <c r="N419" i="2"/>
  <c r="E415" i="2"/>
  <c r="H415" i="2"/>
  <c r="E407" i="2"/>
  <c r="R407" i="2"/>
  <c r="E403" i="2"/>
  <c r="N403" i="2"/>
  <c r="E399" i="2"/>
  <c r="H399" i="2"/>
  <c r="E355" i="2"/>
  <c r="N355" i="2"/>
  <c r="E351" i="2"/>
  <c r="H351" i="2"/>
  <c r="R491" i="2"/>
  <c r="N487" i="2"/>
  <c r="N471" i="2"/>
  <c r="N439" i="2"/>
  <c r="H435" i="2"/>
  <c r="N415" i="2"/>
  <c r="R399" i="2"/>
  <c r="H371" i="2"/>
  <c r="R355" i="2"/>
  <c r="M313" i="2"/>
  <c r="N297" i="2"/>
  <c r="M273" i="2"/>
  <c r="M261" i="2"/>
  <c r="N229" i="2"/>
  <c r="M193" i="2"/>
  <c r="N181" i="2"/>
  <c r="L165" i="2"/>
  <c r="L101" i="2"/>
  <c r="E458" i="2"/>
  <c r="H458" i="2"/>
  <c r="R458" i="2"/>
  <c r="E454" i="2"/>
  <c r="G454" i="2"/>
  <c r="Q454" i="2"/>
  <c r="E450" i="2"/>
  <c r="N450" i="2"/>
  <c r="E446" i="2"/>
  <c r="M446" i="2"/>
  <c r="E442" i="2"/>
  <c r="H442" i="2"/>
  <c r="R442" i="2"/>
  <c r="E438" i="2"/>
  <c r="G438" i="2"/>
  <c r="Q438" i="2"/>
  <c r="E434" i="2"/>
  <c r="N434" i="2"/>
  <c r="E430" i="2"/>
  <c r="M430" i="2"/>
  <c r="E426" i="2"/>
  <c r="H426" i="2"/>
  <c r="R426" i="2"/>
  <c r="E422" i="2"/>
  <c r="G422" i="2"/>
  <c r="Q422" i="2"/>
  <c r="E418" i="2"/>
  <c r="N418" i="2"/>
  <c r="E414" i="2"/>
  <c r="M414" i="2"/>
  <c r="E410" i="2"/>
  <c r="H410" i="2"/>
  <c r="R410" i="2"/>
  <c r="E406" i="2"/>
  <c r="G406" i="2"/>
  <c r="Q406" i="2"/>
  <c r="E402" i="2"/>
  <c r="N402" i="2"/>
  <c r="E398" i="2"/>
  <c r="M398" i="2"/>
  <c r="E394" i="2"/>
  <c r="H394" i="2"/>
  <c r="R394" i="2"/>
  <c r="E390" i="2"/>
  <c r="G390" i="2"/>
  <c r="Q390" i="2"/>
  <c r="E386" i="2"/>
  <c r="N386" i="2"/>
  <c r="E382" i="2"/>
  <c r="M382" i="2"/>
  <c r="E378" i="2"/>
  <c r="H378" i="2"/>
  <c r="R378" i="2"/>
  <c r="E374" i="2"/>
  <c r="G374" i="2"/>
  <c r="Q374" i="2"/>
  <c r="E370" i="2"/>
  <c r="N370" i="2"/>
  <c r="E366" i="2"/>
  <c r="M366" i="2"/>
  <c r="E362" i="2"/>
  <c r="H362" i="2"/>
  <c r="R362" i="2"/>
  <c r="E358" i="2"/>
  <c r="G358" i="2"/>
  <c r="Q358" i="2"/>
  <c r="E354" i="2"/>
  <c r="N354" i="2"/>
  <c r="E350" i="2"/>
  <c r="M350" i="2"/>
  <c r="E346" i="2"/>
  <c r="H346" i="2"/>
  <c r="R346" i="2"/>
  <c r="Q302" i="2"/>
  <c r="R302" i="2"/>
  <c r="H298" i="2"/>
  <c r="Q298" i="2"/>
  <c r="R298" i="2"/>
  <c r="G294" i="2"/>
  <c r="H294" i="2"/>
  <c r="Q294" i="2"/>
  <c r="R290" i="2"/>
  <c r="G290" i="2"/>
  <c r="H290" i="2"/>
  <c r="Q286" i="2"/>
  <c r="R286" i="2"/>
  <c r="G286" i="2"/>
  <c r="H282" i="2"/>
  <c r="Q282" i="2"/>
  <c r="G278" i="2"/>
  <c r="H278" i="2"/>
  <c r="R274" i="2"/>
  <c r="G274" i="2"/>
  <c r="Q270" i="2"/>
  <c r="R270" i="2"/>
  <c r="H266" i="2"/>
  <c r="Q266" i="2"/>
  <c r="R266" i="2"/>
  <c r="G262" i="2"/>
  <c r="H262" i="2"/>
  <c r="Q262" i="2"/>
  <c r="R258" i="2"/>
  <c r="G258" i="2"/>
  <c r="H258" i="2"/>
  <c r="Q254" i="2"/>
  <c r="R254" i="2"/>
  <c r="G254" i="2"/>
  <c r="H250" i="2"/>
  <c r="Q250" i="2"/>
  <c r="G246" i="2"/>
  <c r="H246" i="2"/>
  <c r="R242" i="2"/>
  <c r="G242" i="2"/>
  <c r="Q238" i="2"/>
  <c r="R238" i="2"/>
  <c r="H234" i="2"/>
  <c r="Q234" i="2"/>
  <c r="R234" i="2"/>
  <c r="G230" i="2"/>
  <c r="H230" i="2"/>
  <c r="Q230" i="2"/>
  <c r="R226" i="2"/>
  <c r="G226" i="2"/>
  <c r="H226" i="2"/>
  <c r="Q222" i="2"/>
  <c r="R222" i="2"/>
  <c r="G222" i="2"/>
  <c r="H218" i="2"/>
  <c r="Q218" i="2"/>
  <c r="G214" i="2"/>
  <c r="H214" i="2"/>
  <c r="R210" i="2"/>
  <c r="G210" i="2"/>
  <c r="Q206" i="2"/>
  <c r="R206" i="2"/>
  <c r="H202" i="2"/>
  <c r="Q202" i="2"/>
  <c r="R202" i="2"/>
  <c r="G198" i="2"/>
  <c r="H198" i="2"/>
  <c r="Q198" i="2"/>
  <c r="R194" i="2"/>
  <c r="G194" i="2"/>
  <c r="H194" i="2"/>
  <c r="Q190" i="2"/>
  <c r="R190" i="2"/>
  <c r="G190" i="2"/>
  <c r="H186" i="2"/>
  <c r="Q186" i="2"/>
  <c r="G182" i="2"/>
  <c r="H182" i="2"/>
  <c r="R178" i="2"/>
  <c r="G178" i="2"/>
  <c r="H174" i="2"/>
  <c r="Q174" i="2"/>
  <c r="R174" i="2"/>
  <c r="R495" i="2"/>
  <c r="Q494" i="2"/>
  <c r="G494" i="2"/>
  <c r="N491" i="2"/>
  <c r="N490" i="2"/>
  <c r="H487" i="2"/>
  <c r="M486" i="2"/>
  <c r="R482" i="2"/>
  <c r="H482" i="2"/>
  <c r="R479" i="2"/>
  <c r="Q478" i="2"/>
  <c r="G478" i="2"/>
  <c r="N475" i="2"/>
  <c r="N474" i="2"/>
  <c r="H471" i="2"/>
  <c r="M470" i="2"/>
  <c r="R466" i="2"/>
  <c r="H466" i="2"/>
  <c r="R463" i="2"/>
  <c r="Q462" i="2"/>
  <c r="G462" i="2"/>
  <c r="H459" i="2"/>
  <c r="G458" i="2"/>
  <c r="R454" i="2"/>
  <c r="Q450" i="2"/>
  <c r="R447" i="2"/>
  <c r="N446" i="2"/>
  <c r="N443" i="2"/>
  <c r="M442" i="2"/>
  <c r="H439" i="2"/>
  <c r="H438" i="2"/>
  <c r="R434" i="2"/>
  <c r="G434" i="2"/>
  <c r="Q430" i="2"/>
  <c r="R427" i="2"/>
  <c r="N426" i="2"/>
  <c r="N423" i="2"/>
  <c r="M422" i="2"/>
  <c r="H419" i="2"/>
  <c r="H418" i="2"/>
  <c r="R414" i="2"/>
  <c r="G414" i="2"/>
  <c r="Q410" i="2"/>
  <c r="N406" i="2"/>
  <c r="R403" i="2"/>
  <c r="M402" i="2"/>
  <c r="N399" i="2"/>
  <c r="H398" i="2"/>
  <c r="H395" i="2"/>
  <c r="G394" i="2"/>
  <c r="R390" i="2"/>
  <c r="Q386" i="2"/>
  <c r="R383" i="2"/>
  <c r="N382" i="2"/>
  <c r="N379" i="2"/>
  <c r="M378" i="2"/>
  <c r="H375" i="2"/>
  <c r="H374" i="2"/>
  <c r="R370" i="2"/>
  <c r="G370" i="2"/>
  <c r="Q366" i="2"/>
  <c r="R363" i="2"/>
  <c r="N362" i="2"/>
  <c r="N359" i="2"/>
  <c r="M358" i="2"/>
  <c r="H355" i="2"/>
  <c r="H354" i="2"/>
  <c r="R350" i="2"/>
  <c r="G350" i="2"/>
  <c r="Q346" i="2"/>
  <c r="H342" i="2"/>
  <c r="R338" i="2"/>
  <c r="H330" i="2"/>
  <c r="R326" i="2"/>
  <c r="H318" i="2"/>
  <c r="Q314" i="2"/>
  <c r="N309" i="2"/>
  <c r="G306" i="2"/>
  <c r="G302" i="2"/>
  <c r="R294" i="2"/>
  <c r="M289" i="2"/>
  <c r="R282" i="2"/>
  <c r="N277" i="2"/>
  <c r="H270" i="2"/>
  <c r="N265" i="2"/>
  <c r="Q258" i="2"/>
  <c r="Q246" i="2"/>
  <c r="M241" i="2"/>
  <c r="G234" i="2"/>
  <c r="M229" i="2"/>
  <c r="H222" i="2"/>
  <c r="R214" i="2"/>
  <c r="H210" i="2"/>
  <c r="N197" i="2"/>
  <c r="G186" i="2"/>
  <c r="Q178" i="2"/>
  <c r="N173" i="2"/>
  <c r="O162" i="2"/>
  <c r="O150" i="2"/>
  <c r="L141" i="2"/>
  <c r="O130" i="2"/>
  <c r="O118" i="2"/>
  <c r="L109" i="2"/>
  <c r="O98" i="2"/>
  <c r="E86" i="2"/>
  <c r="E340" i="2"/>
  <c r="K340" i="2"/>
  <c r="B340" i="2" s="1"/>
  <c r="O340" i="2"/>
  <c r="F340" i="2"/>
  <c r="L340" i="2"/>
  <c r="P340" i="2"/>
  <c r="E332" i="2"/>
  <c r="K332" i="2"/>
  <c r="B332" i="2" s="1"/>
  <c r="O332" i="2"/>
  <c r="F332" i="2"/>
  <c r="L332" i="2"/>
  <c r="P332" i="2"/>
  <c r="E324" i="2"/>
  <c r="K324" i="2"/>
  <c r="B324" i="2" s="1"/>
  <c r="O324" i="2"/>
  <c r="F324" i="2"/>
  <c r="L324" i="2"/>
  <c r="P324" i="2"/>
  <c r="E316" i="2"/>
  <c r="K316" i="2"/>
  <c r="B316" i="2" s="1"/>
  <c r="O316" i="2"/>
  <c r="F316" i="2"/>
  <c r="L316" i="2"/>
  <c r="P316" i="2"/>
  <c r="E308" i="2"/>
  <c r="K308" i="2"/>
  <c r="B308" i="2" s="1"/>
  <c r="O308" i="2"/>
  <c r="F308" i="2"/>
  <c r="L308" i="2"/>
  <c r="P308" i="2"/>
  <c r="E300" i="2"/>
  <c r="K300" i="2"/>
  <c r="B300" i="2" s="1"/>
  <c r="O300" i="2"/>
  <c r="F300" i="2"/>
  <c r="L300" i="2"/>
  <c r="P300" i="2"/>
  <c r="E292" i="2"/>
  <c r="K292" i="2"/>
  <c r="B292" i="2" s="1"/>
  <c r="O292" i="2"/>
  <c r="F292" i="2"/>
  <c r="L292" i="2"/>
  <c r="P292" i="2"/>
  <c r="E284" i="2"/>
  <c r="K284" i="2"/>
  <c r="B284" i="2" s="1"/>
  <c r="O284" i="2"/>
  <c r="F284" i="2"/>
  <c r="L284" i="2"/>
  <c r="P284" i="2"/>
  <c r="E276" i="2"/>
  <c r="K276" i="2"/>
  <c r="B276" i="2" s="1"/>
  <c r="O276" i="2"/>
  <c r="F276" i="2"/>
  <c r="L276" i="2"/>
  <c r="P276" i="2"/>
  <c r="E268" i="2"/>
  <c r="K268" i="2"/>
  <c r="B268" i="2" s="1"/>
  <c r="O268" i="2"/>
  <c r="F268" i="2"/>
  <c r="L268" i="2"/>
  <c r="P268" i="2"/>
  <c r="E260" i="2"/>
  <c r="K260" i="2"/>
  <c r="B260" i="2" s="1"/>
  <c r="O260" i="2"/>
  <c r="F260" i="2"/>
  <c r="L260" i="2"/>
  <c r="P260" i="2"/>
  <c r="E252" i="2"/>
  <c r="K252" i="2"/>
  <c r="B252" i="2" s="1"/>
  <c r="O252" i="2"/>
  <c r="F252" i="2"/>
  <c r="L252" i="2"/>
  <c r="P252" i="2"/>
  <c r="E244" i="2"/>
  <c r="K244" i="2"/>
  <c r="B244" i="2" s="1"/>
  <c r="O244" i="2"/>
  <c r="F244" i="2"/>
  <c r="L244" i="2"/>
  <c r="P244" i="2"/>
  <c r="E236" i="2"/>
  <c r="K236" i="2"/>
  <c r="B236" i="2" s="1"/>
  <c r="O236" i="2"/>
  <c r="F236" i="2"/>
  <c r="L236" i="2"/>
  <c r="P236" i="2"/>
  <c r="E228" i="2"/>
  <c r="K228" i="2"/>
  <c r="B228" i="2" s="1"/>
  <c r="O228" i="2"/>
  <c r="F228" i="2"/>
  <c r="L228" i="2"/>
  <c r="P228" i="2"/>
  <c r="E224" i="2"/>
  <c r="K224" i="2"/>
  <c r="B224" i="2" s="1"/>
  <c r="O224" i="2"/>
  <c r="F224" i="2"/>
  <c r="L224" i="2"/>
  <c r="P224" i="2"/>
  <c r="E216" i="2"/>
  <c r="K216" i="2"/>
  <c r="B216" i="2" s="1"/>
  <c r="O216" i="2"/>
  <c r="F216" i="2"/>
  <c r="L216" i="2"/>
  <c r="P216" i="2"/>
  <c r="E208" i="2"/>
  <c r="K208" i="2"/>
  <c r="B208" i="2" s="1"/>
  <c r="O208" i="2"/>
  <c r="F208" i="2"/>
  <c r="L208" i="2"/>
  <c r="P208" i="2"/>
  <c r="E200" i="2"/>
  <c r="K200" i="2"/>
  <c r="B200" i="2" s="1"/>
  <c r="O200" i="2"/>
  <c r="F200" i="2"/>
  <c r="L200" i="2"/>
  <c r="P200" i="2"/>
  <c r="E192" i="2"/>
  <c r="K192" i="2"/>
  <c r="B192" i="2" s="1"/>
  <c r="O192" i="2"/>
  <c r="F192" i="2"/>
  <c r="L192" i="2"/>
  <c r="P192" i="2"/>
  <c r="E180" i="2"/>
  <c r="K180" i="2"/>
  <c r="B180" i="2" s="1"/>
  <c r="O180" i="2"/>
  <c r="F180" i="2"/>
  <c r="L180" i="2"/>
  <c r="P180" i="2"/>
  <c r="G172" i="2"/>
  <c r="H172" i="2"/>
  <c r="K172" i="2"/>
  <c r="B172" i="2" s="1"/>
  <c r="O172" i="2"/>
  <c r="L172" i="2"/>
  <c r="P172" i="2"/>
  <c r="G168" i="2"/>
  <c r="M168" i="2"/>
  <c r="Q168" i="2"/>
  <c r="H168" i="2"/>
  <c r="N168" i="2"/>
  <c r="R168" i="2"/>
  <c r="K168" i="2"/>
  <c r="B168" i="2" s="1"/>
  <c r="L168" i="2"/>
  <c r="G160" i="2"/>
  <c r="M160" i="2"/>
  <c r="Q160" i="2"/>
  <c r="H160" i="2"/>
  <c r="N160" i="2"/>
  <c r="R160" i="2"/>
  <c r="K160" i="2"/>
  <c r="B160" i="2" s="1"/>
  <c r="L160" i="2"/>
  <c r="G152" i="2"/>
  <c r="M152" i="2"/>
  <c r="Q152" i="2"/>
  <c r="H152" i="2"/>
  <c r="N152" i="2"/>
  <c r="R152" i="2"/>
  <c r="K152" i="2"/>
  <c r="B152" i="2" s="1"/>
  <c r="L152" i="2"/>
  <c r="G140" i="2"/>
  <c r="M140" i="2"/>
  <c r="Q140" i="2"/>
  <c r="H140" i="2"/>
  <c r="N140" i="2"/>
  <c r="R140" i="2"/>
  <c r="K140" i="2"/>
  <c r="B140" i="2" s="1"/>
  <c r="L140" i="2"/>
  <c r="G132" i="2"/>
  <c r="M132" i="2"/>
  <c r="Q132" i="2"/>
  <c r="H132" i="2"/>
  <c r="N132" i="2"/>
  <c r="R132" i="2"/>
  <c r="K132" i="2"/>
  <c r="B132" i="2" s="1"/>
  <c r="L132" i="2"/>
  <c r="G124" i="2"/>
  <c r="M124" i="2"/>
  <c r="Q124" i="2"/>
  <c r="H124" i="2"/>
  <c r="N124" i="2"/>
  <c r="R124" i="2"/>
  <c r="K124" i="2"/>
  <c r="B124" i="2" s="1"/>
  <c r="L124" i="2"/>
  <c r="G116" i="2"/>
  <c r="M116" i="2"/>
  <c r="Q116" i="2"/>
  <c r="H116" i="2"/>
  <c r="N116" i="2"/>
  <c r="R116" i="2"/>
  <c r="K116" i="2"/>
  <c r="B116" i="2" s="1"/>
  <c r="L116" i="2"/>
  <c r="G108" i="2"/>
  <c r="M108" i="2"/>
  <c r="Q108" i="2"/>
  <c r="H108" i="2"/>
  <c r="N108" i="2"/>
  <c r="R108" i="2"/>
  <c r="K108" i="2"/>
  <c r="B108" i="2" s="1"/>
  <c r="L108" i="2"/>
  <c r="G100" i="2"/>
  <c r="M100" i="2"/>
  <c r="Q100" i="2"/>
  <c r="H100" i="2"/>
  <c r="N100" i="2"/>
  <c r="R100" i="2"/>
  <c r="K100" i="2"/>
  <c r="B100" i="2" s="1"/>
  <c r="L100" i="2"/>
  <c r="F92" i="2"/>
  <c r="L92" i="2"/>
  <c r="P92" i="2"/>
  <c r="E92" i="2"/>
  <c r="M92" i="2"/>
  <c r="R92" i="2"/>
  <c r="G92" i="2"/>
  <c r="N92" i="2"/>
  <c r="O92" i="2"/>
  <c r="Q92" i="2"/>
  <c r="F88" i="2"/>
  <c r="L88" i="2"/>
  <c r="P88" i="2"/>
  <c r="E88" i="2"/>
  <c r="M88" i="2"/>
  <c r="R88" i="2"/>
  <c r="G88" i="2"/>
  <c r="N88" i="2"/>
  <c r="H88" i="2"/>
  <c r="K88" i="2"/>
  <c r="B88" i="2" s="1"/>
  <c r="F80" i="2"/>
  <c r="L80" i="2"/>
  <c r="P80" i="2"/>
  <c r="E80" i="2"/>
  <c r="M80" i="2"/>
  <c r="R80" i="2"/>
  <c r="G80" i="2"/>
  <c r="N80" i="2"/>
  <c r="H80" i="2"/>
  <c r="K80" i="2"/>
  <c r="B80" i="2" s="1"/>
  <c r="G72" i="2"/>
  <c r="M72" i="2"/>
  <c r="Q72" i="2"/>
  <c r="H72" i="2"/>
  <c r="O72" i="2"/>
  <c r="L72" i="2"/>
  <c r="E72" i="2"/>
  <c r="N72" i="2"/>
  <c r="F72" i="2"/>
  <c r="K72" i="2"/>
  <c r="B72" i="2" s="1"/>
  <c r="G64" i="2"/>
  <c r="M64" i="2"/>
  <c r="Q64" i="2"/>
  <c r="H64" i="2"/>
  <c r="O64" i="2"/>
  <c r="F64" i="2"/>
  <c r="P64" i="2"/>
  <c r="K64" i="2"/>
  <c r="B64" i="2" s="1"/>
  <c r="R64" i="2"/>
  <c r="E64" i="2"/>
  <c r="N496" i="2"/>
  <c r="H492" i="2"/>
  <c r="R488" i="2"/>
  <c r="N484" i="2"/>
  <c r="H484" i="2"/>
  <c r="R480" i="2"/>
  <c r="R476" i="2"/>
  <c r="N472" i="2"/>
  <c r="N468" i="2"/>
  <c r="H468" i="2"/>
  <c r="R464" i="2"/>
  <c r="N460" i="2"/>
  <c r="H460" i="2"/>
  <c r="R456" i="2"/>
  <c r="N452" i="2"/>
  <c r="H452" i="2"/>
  <c r="R448" i="2"/>
  <c r="H448" i="2"/>
  <c r="N444" i="2"/>
  <c r="R440" i="2"/>
  <c r="N436" i="2"/>
  <c r="H436" i="2"/>
  <c r="N432" i="2"/>
  <c r="N428" i="2"/>
  <c r="N424" i="2"/>
  <c r="R420" i="2"/>
  <c r="N416" i="2"/>
  <c r="R412" i="2"/>
  <c r="H412" i="2"/>
  <c r="N408" i="2"/>
  <c r="H408" i="2"/>
  <c r="R404" i="2"/>
  <c r="H404" i="2"/>
  <c r="R400" i="2"/>
  <c r="N400" i="2"/>
  <c r="H400" i="2"/>
  <c r="N396" i="2"/>
  <c r="H396" i="2"/>
  <c r="R392" i="2"/>
  <c r="R388" i="2"/>
  <c r="N384" i="2"/>
  <c r="N380" i="2"/>
  <c r="R376" i="2"/>
  <c r="H376" i="2"/>
  <c r="N372" i="2"/>
  <c r="H372" i="2"/>
  <c r="R368" i="2"/>
  <c r="R364" i="2"/>
  <c r="H364" i="2"/>
  <c r="R360" i="2"/>
  <c r="N356" i="2"/>
  <c r="R352" i="2"/>
  <c r="R348" i="2"/>
  <c r="R344" i="2"/>
  <c r="H344" i="2"/>
  <c r="R340" i="2"/>
  <c r="R336" i="2"/>
  <c r="H336" i="2"/>
  <c r="H332" i="2"/>
  <c r="R324" i="2"/>
  <c r="R320" i="2"/>
  <c r="H316" i="2"/>
  <c r="H312" i="2"/>
  <c r="H308" i="2"/>
  <c r="R304" i="2"/>
  <c r="H304" i="2"/>
  <c r="H300" i="2"/>
  <c r="R296" i="2"/>
  <c r="R292" i="2"/>
  <c r="H292" i="2"/>
  <c r="R284" i="2"/>
  <c r="H284" i="2"/>
  <c r="R276" i="2"/>
  <c r="R272" i="2"/>
  <c r="R268" i="2"/>
  <c r="R260" i="2"/>
  <c r="H260" i="2"/>
  <c r="R252" i="2"/>
  <c r="R248" i="2"/>
  <c r="R244" i="2"/>
  <c r="H240" i="2"/>
  <c r="R236" i="2"/>
  <c r="R232" i="2"/>
  <c r="H232" i="2"/>
  <c r="R228" i="2"/>
  <c r="H228" i="2"/>
  <c r="R224" i="2"/>
  <c r="H224" i="2"/>
  <c r="R220" i="2"/>
  <c r="H220" i="2"/>
  <c r="R216" i="2"/>
  <c r="H216" i="2"/>
  <c r="R212" i="2"/>
  <c r="H212" i="2"/>
  <c r="H208" i="2"/>
  <c r="R204" i="2"/>
  <c r="H204" i="2"/>
  <c r="R200" i="2"/>
  <c r="H200" i="2"/>
  <c r="R196" i="2"/>
  <c r="H196" i="2"/>
  <c r="R192" i="2"/>
  <c r="H192" i="2"/>
  <c r="R188" i="2"/>
  <c r="H188" i="2"/>
  <c r="R184" i="2"/>
  <c r="H184" i="2"/>
  <c r="R180" i="2"/>
  <c r="H180" i="2"/>
  <c r="R176" i="2"/>
  <c r="H176" i="2"/>
  <c r="N175" i="2"/>
  <c r="R172" i="2"/>
  <c r="F172" i="2"/>
  <c r="F168" i="2"/>
  <c r="F164" i="2"/>
  <c r="F160" i="2"/>
  <c r="F156" i="2"/>
  <c r="F152" i="2"/>
  <c r="F148" i="2"/>
  <c r="F144" i="2"/>
  <c r="F140" i="2"/>
  <c r="F136" i="2"/>
  <c r="F132" i="2"/>
  <c r="F128" i="2"/>
  <c r="F124" i="2"/>
  <c r="F120" i="2"/>
  <c r="F116" i="2"/>
  <c r="F112" i="2"/>
  <c r="F108" i="2"/>
  <c r="F104" i="2"/>
  <c r="F100" i="2"/>
  <c r="F96" i="2"/>
  <c r="K84" i="2"/>
  <c r="B84" i="2" s="1"/>
  <c r="Q80" i="2"/>
  <c r="L76" i="2"/>
  <c r="N64" i="2"/>
  <c r="E339" i="2"/>
  <c r="K339" i="2"/>
  <c r="B339" i="2" s="1"/>
  <c r="O339" i="2"/>
  <c r="F339" i="2"/>
  <c r="L339" i="2"/>
  <c r="P339" i="2"/>
  <c r="E335" i="2"/>
  <c r="K335" i="2"/>
  <c r="B335" i="2" s="1"/>
  <c r="O335" i="2"/>
  <c r="F335" i="2"/>
  <c r="L335" i="2"/>
  <c r="P335" i="2"/>
  <c r="E331" i="2"/>
  <c r="K331" i="2"/>
  <c r="B331" i="2" s="1"/>
  <c r="O331" i="2"/>
  <c r="F331" i="2"/>
  <c r="L331" i="2"/>
  <c r="P331" i="2"/>
  <c r="E327" i="2"/>
  <c r="K327" i="2"/>
  <c r="B327" i="2" s="1"/>
  <c r="O327" i="2"/>
  <c r="F327" i="2"/>
  <c r="L327" i="2"/>
  <c r="P327" i="2"/>
  <c r="E323" i="2"/>
  <c r="K323" i="2"/>
  <c r="B323" i="2" s="1"/>
  <c r="O323" i="2"/>
  <c r="F323" i="2"/>
  <c r="L323" i="2"/>
  <c r="P323" i="2"/>
  <c r="E319" i="2"/>
  <c r="K319" i="2"/>
  <c r="B319" i="2" s="1"/>
  <c r="O319" i="2"/>
  <c r="F319" i="2"/>
  <c r="L319" i="2"/>
  <c r="P319" i="2"/>
  <c r="E315" i="2"/>
  <c r="K315" i="2"/>
  <c r="B315" i="2" s="1"/>
  <c r="O315" i="2"/>
  <c r="F315" i="2"/>
  <c r="L315" i="2"/>
  <c r="P315" i="2"/>
  <c r="E311" i="2"/>
  <c r="K311" i="2"/>
  <c r="B311" i="2" s="1"/>
  <c r="O311" i="2"/>
  <c r="F311" i="2"/>
  <c r="L311" i="2"/>
  <c r="P311" i="2"/>
  <c r="E307" i="2"/>
  <c r="K307" i="2"/>
  <c r="B307" i="2" s="1"/>
  <c r="O307" i="2"/>
  <c r="F307" i="2"/>
  <c r="L307" i="2"/>
  <c r="P307" i="2"/>
  <c r="E303" i="2"/>
  <c r="K303" i="2"/>
  <c r="B303" i="2" s="1"/>
  <c r="O303" i="2"/>
  <c r="F303" i="2"/>
  <c r="L303" i="2"/>
  <c r="P303" i="2"/>
  <c r="E299" i="2"/>
  <c r="K299" i="2"/>
  <c r="B299" i="2" s="1"/>
  <c r="O299" i="2"/>
  <c r="F299" i="2"/>
  <c r="L299" i="2"/>
  <c r="P299" i="2"/>
  <c r="E295" i="2"/>
  <c r="K295" i="2"/>
  <c r="B295" i="2" s="1"/>
  <c r="O295" i="2"/>
  <c r="F295" i="2"/>
  <c r="L295" i="2"/>
  <c r="P295" i="2"/>
  <c r="E291" i="2"/>
  <c r="K291" i="2"/>
  <c r="B291" i="2" s="1"/>
  <c r="O291" i="2"/>
  <c r="F291" i="2"/>
  <c r="L291" i="2"/>
  <c r="P291" i="2"/>
  <c r="E287" i="2"/>
  <c r="K287" i="2"/>
  <c r="B287" i="2" s="1"/>
  <c r="O287" i="2"/>
  <c r="F287" i="2"/>
  <c r="L287" i="2"/>
  <c r="P287" i="2"/>
  <c r="E283" i="2"/>
  <c r="K283" i="2"/>
  <c r="B283" i="2" s="1"/>
  <c r="O283" i="2"/>
  <c r="F283" i="2"/>
  <c r="L283" i="2"/>
  <c r="P283" i="2"/>
  <c r="E279" i="2"/>
  <c r="K279" i="2"/>
  <c r="B279" i="2" s="1"/>
  <c r="O279" i="2"/>
  <c r="F279" i="2"/>
  <c r="L279" i="2"/>
  <c r="P279" i="2"/>
  <c r="E275" i="2"/>
  <c r="K275" i="2"/>
  <c r="B275" i="2" s="1"/>
  <c r="O275" i="2"/>
  <c r="F275" i="2"/>
  <c r="L275" i="2"/>
  <c r="P275" i="2"/>
  <c r="E271" i="2"/>
  <c r="K271" i="2"/>
  <c r="B271" i="2" s="1"/>
  <c r="O271" i="2"/>
  <c r="F271" i="2"/>
  <c r="L271" i="2"/>
  <c r="P271" i="2"/>
  <c r="E267" i="2"/>
  <c r="K267" i="2"/>
  <c r="B267" i="2" s="1"/>
  <c r="O267" i="2"/>
  <c r="F267" i="2"/>
  <c r="L267" i="2"/>
  <c r="P267" i="2"/>
  <c r="E263" i="2"/>
  <c r="K263" i="2"/>
  <c r="B263" i="2" s="1"/>
  <c r="O263" i="2"/>
  <c r="F263" i="2"/>
  <c r="L263" i="2"/>
  <c r="P263" i="2"/>
  <c r="E259" i="2"/>
  <c r="K259" i="2"/>
  <c r="B259" i="2" s="1"/>
  <c r="O259" i="2"/>
  <c r="F259" i="2"/>
  <c r="L259" i="2"/>
  <c r="P259" i="2"/>
  <c r="E255" i="2"/>
  <c r="K255" i="2"/>
  <c r="B255" i="2" s="1"/>
  <c r="O255" i="2"/>
  <c r="F255" i="2"/>
  <c r="L255" i="2"/>
  <c r="P255" i="2"/>
  <c r="E251" i="2"/>
  <c r="K251" i="2"/>
  <c r="B251" i="2" s="1"/>
  <c r="O251" i="2"/>
  <c r="F251" i="2"/>
  <c r="L251" i="2"/>
  <c r="P251" i="2"/>
  <c r="E247" i="2"/>
  <c r="K247" i="2"/>
  <c r="B247" i="2" s="1"/>
  <c r="O247" i="2"/>
  <c r="F247" i="2"/>
  <c r="L247" i="2"/>
  <c r="P247" i="2"/>
  <c r="E243" i="2"/>
  <c r="K243" i="2"/>
  <c r="B243" i="2" s="1"/>
  <c r="O243" i="2"/>
  <c r="F243" i="2"/>
  <c r="L243" i="2"/>
  <c r="P243" i="2"/>
  <c r="E239" i="2"/>
  <c r="K239" i="2"/>
  <c r="B239" i="2" s="1"/>
  <c r="O239" i="2"/>
  <c r="F239" i="2"/>
  <c r="L239" i="2"/>
  <c r="P239" i="2"/>
  <c r="E235" i="2"/>
  <c r="K235" i="2"/>
  <c r="B235" i="2" s="1"/>
  <c r="O235" i="2"/>
  <c r="F235" i="2"/>
  <c r="L235" i="2"/>
  <c r="P235" i="2"/>
  <c r="E231" i="2"/>
  <c r="K231" i="2"/>
  <c r="B231" i="2" s="1"/>
  <c r="O231" i="2"/>
  <c r="F231" i="2"/>
  <c r="L231" i="2"/>
  <c r="P231" i="2"/>
  <c r="E227" i="2"/>
  <c r="K227" i="2"/>
  <c r="B227" i="2" s="1"/>
  <c r="O227" i="2"/>
  <c r="F227" i="2"/>
  <c r="L227" i="2"/>
  <c r="P227" i="2"/>
  <c r="E223" i="2"/>
  <c r="K223" i="2"/>
  <c r="B223" i="2" s="1"/>
  <c r="O223" i="2"/>
  <c r="F223" i="2"/>
  <c r="L223" i="2"/>
  <c r="P223" i="2"/>
  <c r="E219" i="2"/>
  <c r="K219" i="2"/>
  <c r="B219" i="2" s="1"/>
  <c r="O219" i="2"/>
  <c r="F219" i="2"/>
  <c r="L219" i="2"/>
  <c r="P219" i="2"/>
  <c r="E215" i="2"/>
  <c r="K215" i="2"/>
  <c r="B215" i="2" s="1"/>
  <c r="O215" i="2"/>
  <c r="F215" i="2"/>
  <c r="L215" i="2"/>
  <c r="P215" i="2"/>
  <c r="E211" i="2"/>
  <c r="K211" i="2"/>
  <c r="B211" i="2" s="1"/>
  <c r="O211" i="2"/>
  <c r="F211" i="2"/>
  <c r="L211" i="2"/>
  <c r="P211" i="2"/>
  <c r="E207" i="2"/>
  <c r="K207" i="2"/>
  <c r="B207" i="2" s="1"/>
  <c r="O207" i="2"/>
  <c r="F207" i="2"/>
  <c r="L207" i="2"/>
  <c r="P207" i="2"/>
  <c r="E203" i="2"/>
  <c r="K203" i="2"/>
  <c r="B203" i="2" s="1"/>
  <c r="O203" i="2"/>
  <c r="F203" i="2"/>
  <c r="L203" i="2"/>
  <c r="P203" i="2"/>
  <c r="E199" i="2"/>
  <c r="K199" i="2"/>
  <c r="B199" i="2" s="1"/>
  <c r="O199" i="2"/>
  <c r="F199" i="2"/>
  <c r="L199" i="2"/>
  <c r="P199" i="2"/>
  <c r="E195" i="2"/>
  <c r="K195" i="2"/>
  <c r="B195" i="2" s="1"/>
  <c r="O195" i="2"/>
  <c r="F195" i="2"/>
  <c r="L195" i="2"/>
  <c r="P195" i="2"/>
  <c r="E191" i="2"/>
  <c r="K191" i="2"/>
  <c r="B191" i="2" s="1"/>
  <c r="O191" i="2"/>
  <c r="F191" i="2"/>
  <c r="L191" i="2"/>
  <c r="P191" i="2"/>
  <c r="E187" i="2"/>
  <c r="K187" i="2"/>
  <c r="B187" i="2" s="1"/>
  <c r="O187" i="2"/>
  <c r="F187" i="2"/>
  <c r="L187" i="2"/>
  <c r="P187" i="2"/>
  <c r="E183" i="2"/>
  <c r="K183" i="2"/>
  <c r="B183" i="2" s="1"/>
  <c r="O183" i="2"/>
  <c r="F183" i="2"/>
  <c r="L183" i="2"/>
  <c r="P183" i="2"/>
  <c r="E179" i="2"/>
  <c r="K179" i="2"/>
  <c r="B179" i="2" s="1"/>
  <c r="O179" i="2"/>
  <c r="F179" i="2"/>
  <c r="L179" i="2"/>
  <c r="P179" i="2"/>
  <c r="G171" i="2"/>
  <c r="M171" i="2"/>
  <c r="Q171" i="2"/>
  <c r="H171" i="2"/>
  <c r="N171" i="2"/>
  <c r="R171" i="2"/>
  <c r="E171" i="2"/>
  <c r="O171" i="2"/>
  <c r="F171" i="2"/>
  <c r="P171" i="2"/>
  <c r="G163" i="2"/>
  <c r="M163" i="2"/>
  <c r="Q163" i="2"/>
  <c r="H163" i="2"/>
  <c r="N163" i="2"/>
  <c r="R163" i="2"/>
  <c r="E163" i="2"/>
  <c r="O163" i="2"/>
  <c r="F163" i="2"/>
  <c r="P163" i="2"/>
  <c r="G155" i="2"/>
  <c r="M155" i="2"/>
  <c r="Q155" i="2"/>
  <c r="H155" i="2"/>
  <c r="N155" i="2"/>
  <c r="R155" i="2"/>
  <c r="E155" i="2"/>
  <c r="O155" i="2"/>
  <c r="F155" i="2"/>
  <c r="P155" i="2"/>
  <c r="G147" i="2"/>
  <c r="M147" i="2"/>
  <c r="Q147" i="2"/>
  <c r="H147" i="2"/>
  <c r="N147" i="2"/>
  <c r="R147" i="2"/>
  <c r="E147" i="2"/>
  <c r="O147" i="2"/>
  <c r="F147" i="2"/>
  <c r="P147" i="2"/>
  <c r="G139" i="2"/>
  <c r="M139" i="2"/>
  <c r="Q139" i="2"/>
  <c r="H139" i="2"/>
  <c r="N139" i="2"/>
  <c r="R139" i="2"/>
  <c r="E139" i="2"/>
  <c r="O139" i="2"/>
  <c r="F139" i="2"/>
  <c r="P139" i="2"/>
  <c r="G131" i="2"/>
  <c r="M131" i="2"/>
  <c r="Q131" i="2"/>
  <c r="H131" i="2"/>
  <c r="N131" i="2"/>
  <c r="R131" i="2"/>
  <c r="E131" i="2"/>
  <c r="O131" i="2"/>
  <c r="F131" i="2"/>
  <c r="P131" i="2"/>
  <c r="G123" i="2"/>
  <c r="M123" i="2"/>
  <c r="Q123" i="2"/>
  <c r="H123" i="2"/>
  <c r="N123" i="2"/>
  <c r="R123" i="2"/>
  <c r="E123" i="2"/>
  <c r="O123" i="2"/>
  <c r="F123" i="2"/>
  <c r="P123" i="2"/>
  <c r="G115" i="2"/>
  <c r="M115" i="2"/>
  <c r="Q115" i="2"/>
  <c r="H115" i="2"/>
  <c r="N115" i="2"/>
  <c r="R115" i="2"/>
  <c r="E115" i="2"/>
  <c r="O115" i="2"/>
  <c r="F115" i="2"/>
  <c r="P115" i="2"/>
  <c r="G107" i="2"/>
  <c r="M107" i="2"/>
  <c r="Q107" i="2"/>
  <c r="H107" i="2"/>
  <c r="N107" i="2"/>
  <c r="R107" i="2"/>
  <c r="E107" i="2"/>
  <c r="O107" i="2"/>
  <c r="F107" i="2"/>
  <c r="P107" i="2"/>
  <c r="G103" i="2"/>
  <c r="M103" i="2"/>
  <c r="Q103" i="2"/>
  <c r="H103" i="2"/>
  <c r="N103" i="2"/>
  <c r="R103" i="2"/>
  <c r="E103" i="2"/>
  <c r="O103" i="2"/>
  <c r="F103" i="2"/>
  <c r="P103" i="2"/>
  <c r="F91" i="2"/>
  <c r="L91" i="2"/>
  <c r="P91" i="2"/>
  <c r="G91" i="2"/>
  <c r="N91" i="2"/>
  <c r="H91" i="2"/>
  <c r="O91" i="2"/>
  <c r="Q91" i="2"/>
  <c r="E91" i="2"/>
  <c r="R91" i="2"/>
  <c r="F87" i="2"/>
  <c r="L87" i="2"/>
  <c r="P87" i="2"/>
  <c r="G87" i="2"/>
  <c r="N87" i="2"/>
  <c r="H87" i="2"/>
  <c r="O87" i="2"/>
  <c r="K87" i="2"/>
  <c r="B87" i="2" s="1"/>
  <c r="M87" i="2"/>
  <c r="G79" i="2"/>
  <c r="M79" i="2"/>
  <c r="K79" i="2"/>
  <c r="B79" i="2" s="1"/>
  <c r="P79" i="2"/>
  <c r="E79" i="2"/>
  <c r="N79" i="2"/>
  <c r="F79" i="2"/>
  <c r="O79" i="2"/>
  <c r="H79" i="2"/>
  <c r="L79" i="2"/>
  <c r="G71" i="2"/>
  <c r="M71" i="2"/>
  <c r="Q71" i="2"/>
  <c r="K71" i="2"/>
  <c r="B71" i="2" s="1"/>
  <c r="P71" i="2"/>
  <c r="H71" i="2"/>
  <c r="R71" i="2"/>
  <c r="L71" i="2"/>
  <c r="E71" i="2"/>
  <c r="F71" i="2"/>
  <c r="G67" i="2"/>
  <c r="M67" i="2"/>
  <c r="Q67" i="2"/>
  <c r="K67" i="2"/>
  <c r="B67" i="2" s="1"/>
  <c r="P67" i="2"/>
  <c r="F67" i="2"/>
  <c r="O67" i="2"/>
  <c r="H67" i="2"/>
  <c r="R67" i="2"/>
  <c r="L67" i="2"/>
  <c r="N67" i="2"/>
  <c r="Q496" i="2"/>
  <c r="Q495" i="2"/>
  <c r="G492" i="2"/>
  <c r="M491" i="2"/>
  <c r="Q488" i="2"/>
  <c r="G488" i="2"/>
  <c r="M487" i="2"/>
  <c r="G487" i="2"/>
  <c r="Q484" i="2"/>
  <c r="M484" i="2"/>
  <c r="Q483" i="2"/>
  <c r="G483" i="2"/>
  <c r="Q480" i="2"/>
  <c r="G480" i="2"/>
  <c r="M479" i="2"/>
  <c r="Q476" i="2"/>
  <c r="G476" i="2"/>
  <c r="M475" i="2"/>
  <c r="M472" i="2"/>
  <c r="Q471" i="2"/>
  <c r="G471" i="2"/>
  <c r="Q468" i="2"/>
  <c r="G468" i="2"/>
  <c r="M467" i="2"/>
  <c r="G467" i="2"/>
  <c r="Q464" i="2"/>
  <c r="G464" i="2"/>
  <c r="M463" i="2"/>
  <c r="Q460" i="2"/>
  <c r="M460" i="2"/>
  <c r="Q459" i="2"/>
  <c r="G459" i="2"/>
  <c r="M456" i="2"/>
  <c r="Q455" i="2"/>
  <c r="G455" i="2"/>
  <c r="M452" i="2"/>
  <c r="Q451" i="2"/>
  <c r="G451" i="2"/>
  <c r="M448" i="2"/>
  <c r="M447" i="2"/>
  <c r="G447" i="2"/>
  <c r="M444" i="2"/>
  <c r="Q443" i="2"/>
  <c r="G443" i="2"/>
  <c r="Q440" i="2"/>
  <c r="M440" i="2"/>
  <c r="G440" i="2"/>
  <c r="M439" i="2"/>
  <c r="G439" i="2"/>
  <c r="Q436" i="2"/>
  <c r="M436" i="2"/>
  <c r="G436" i="2"/>
  <c r="Q435" i="2"/>
  <c r="M435" i="2"/>
  <c r="G435" i="2"/>
  <c r="Q432" i="2"/>
  <c r="M432" i="2"/>
  <c r="G432" i="2"/>
  <c r="Q431" i="2"/>
  <c r="M431" i="2"/>
  <c r="G431" i="2"/>
  <c r="Q428" i="2"/>
  <c r="M428" i="2"/>
  <c r="G428" i="2"/>
  <c r="Q427" i="2"/>
  <c r="M427" i="2"/>
  <c r="G427" i="2"/>
  <c r="Q424" i="2"/>
  <c r="M424" i="2"/>
  <c r="G424" i="2"/>
  <c r="Q423" i="2"/>
  <c r="M423" i="2"/>
  <c r="G423" i="2"/>
  <c r="Q420" i="2"/>
  <c r="M420" i="2"/>
  <c r="G420" i="2"/>
  <c r="Q419" i="2"/>
  <c r="M419" i="2"/>
  <c r="G419" i="2"/>
  <c r="Q416" i="2"/>
  <c r="M416" i="2"/>
  <c r="G416" i="2"/>
  <c r="Q415" i="2"/>
  <c r="M415" i="2"/>
  <c r="G415" i="2"/>
  <c r="Q412" i="2"/>
  <c r="M412" i="2"/>
  <c r="G412" i="2"/>
  <c r="Q411" i="2"/>
  <c r="M411" i="2"/>
  <c r="G411" i="2"/>
  <c r="Q408" i="2"/>
  <c r="M408" i="2"/>
  <c r="G408" i="2"/>
  <c r="Q407" i="2"/>
  <c r="M407" i="2"/>
  <c r="G407" i="2"/>
  <c r="Q404" i="2"/>
  <c r="M404" i="2"/>
  <c r="G404" i="2"/>
  <c r="Q403" i="2"/>
  <c r="M403" i="2"/>
  <c r="G403" i="2"/>
  <c r="Q400" i="2"/>
  <c r="M400" i="2"/>
  <c r="G400" i="2"/>
  <c r="Q399" i="2"/>
  <c r="M399" i="2"/>
  <c r="G399" i="2"/>
  <c r="Q396" i="2"/>
  <c r="M396" i="2"/>
  <c r="G396" i="2"/>
  <c r="Q395" i="2"/>
  <c r="M395" i="2"/>
  <c r="G395" i="2"/>
  <c r="Q392" i="2"/>
  <c r="M392" i="2"/>
  <c r="G392" i="2"/>
  <c r="Q391" i="2"/>
  <c r="M391" i="2"/>
  <c r="G391" i="2"/>
  <c r="Q388" i="2"/>
  <c r="M388" i="2"/>
  <c r="G388" i="2"/>
  <c r="Q387" i="2"/>
  <c r="M387" i="2"/>
  <c r="G387" i="2"/>
  <c r="Q384" i="2"/>
  <c r="M384" i="2"/>
  <c r="G384" i="2"/>
  <c r="Q383" i="2"/>
  <c r="M383" i="2"/>
  <c r="G383" i="2"/>
  <c r="Q380" i="2"/>
  <c r="M380" i="2"/>
  <c r="G380" i="2"/>
  <c r="Q379" i="2"/>
  <c r="M379" i="2"/>
  <c r="G379" i="2"/>
  <c r="Q376" i="2"/>
  <c r="M376" i="2"/>
  <c r="G376" i="2"/>
  <c r="Q375" i="2"/>
  <c r="M375" i="2"/>
  <c r="G375" i="2"/>
  <c r="Q372" i="2"/>
  <c r="M372" i="2"/>
  <c r="G372" i="2"/>
  <c r="Q371" i="2"/>
  <c r="M371" i="2"/>
  <c r="G371" i="2"/>
  <c r="Q368" i="2"/>
  <c r="M368" i="2"/>
  <c r="G368" i="2"/>
  <c r="Q367" i="2"/>
  <c r="M367" i="2"/>
  <c r="G367" i="2"/>
  <c r="Q364" i="2"/>
  <c r="M364" i="2"/>
  <c r="G364" i="2"/>
  <c r="Q363" i="2"/>
  <c r="M363" i="2"/>
  <c r="G363" i="2"/>
  <c r="Q360" i="2"/>
  <c r="M360" i="2"/>
  <c r="G360" i="2"/>
  <c r="Q359" i="2"/>
  <c r="M359" i="2"/>
  <c r="G359" i="2"/>
  <c r="M356" i="2"/>
  <c r="Q355" i="2"/>
  <c r="G355" i="2"/>
  <c r="M352" i="2"/>
  <c r="G352" i="2"/>
  <c r="M351" i="2"/>
  <c r="Q348" i="2"/>
  <c r="G348" i="2"/>
  <c r="M347" i="2"/>
  <c r="G347" i="2"/>
  <c r="M344" i="2"/>
  <c r="Q343" i="2"/>
  <c r="G340" i="2"/>
  <c r="M339" i="2"/>
  <c r="Q336" i="2"/>
  <c r="G332" i="2"/>
  <c r="M331" i="2"/>
  <c r="Q328" i="2"/>
  <c r="M327" i="2"/>
  <c r="Q324" i="2"/>
  <c r="G324" i="2"/>
  <c r="M323" i="2"/>
  <c r="Q320" i="2"/>
  <c r="M319" i="2"/>
  <c r="Q316" i="2"/>
  <c r="G312" i="2"/>
  <c r="M311" i="2"/>
  <c r="Q308" i="2"/>
  <c r="G304" i="2"/>
  <c r="G300" i="2"/>
  <c r="M299" i="2"/>
  <c r="Q296" i="2"/>
  <c r="Q292" i="2"/>
  <c r="G288" i="2"/>
  <c r="G280" i="2"/>
  <c r="G276" i="2"/>
  <c r="M275" i="2"/>
  <c r="Q272" i="2"/>
  <c r="G268" i="2"/>
  <c r="M267" i="2"/>
  <c r="G264" i="2"/>
  <c r="G252" i="2"/>
  <c r="M251" i="2"/>
  <c r="Q248" i="2"/>
  <c r="G244" i="2"/>
  <c r="M243" i="2"/>
  <c r="Q240" i="2"/>
  <c r="G236" i="2"/>
  <c r="M235" i="2"/>
  <c r="Q232" i="2"/>
  <c r="M231" i="2"/>
  <c r="Q228" i="2"/>
  <c r="G228" i="2"/>
  <c r="M227" i="2"/>
  <c r="Q224" i="2"/>
  <c r="M223" i="2"/>
  <c r="Q220" i="2"/>
  <c r="G216" i="2"/>
  <c r="M215" i="2"/>
  <c r="G212" i="2"/>
  <c r="M211" i="2"/>
  <c r="Q208" i="2"/>
  <c r="M207" i="2"/>
  <c r="Q204" i="2"/>
  <c r="M203" i="2"/>
  <c r="G200" i="2"/>
  <c r="M199" i="2"/>
  <c r="Q196" i="2"/>
  <c r="M195" i="2"/>
  <c r="Q192" i="2"/>
  <c r="M191" i="2"/>
  <c r="Q188" i="2"/>
  <c r="M187" i="2"/>
  <c r="Q184" i="2"/>
  <c r="G180" i="2"/>
  <c r="M179" i="2"/>
  <c r="Q176" i="2"/>
  <c r="E172" i="2"/>
  <c r="E164" i="2"/>
  <c r="E156" i="2"/>
  <c r="E140" i="2"/>
  <c r="E136" i="2"/>
  <c r="E132" i="2"/>
  <c r="E124" i="2"/>
  <c r="E120" i="2"/>
  <c r="E116" i="2"/>
  <c r="E112" i="2"/>
  <c r="E108" i="2"/>
  <c r="E104" i="2"/>
  <c r="E100" i="2"/>
  <c r="E96" i="2"/>
  <c r="K91" i="2"/>
  <c r="B91" i="2" s="1"/>
  <c r="Q87" i="2"/>
  <c r="O80" i="2"/>
  <c r="N71" i="2"/>
  <c r="L64" i="2"/>
  <c r="E342" i="2"/>
  <c r="K342" i="2"/>
  <c r="B342" i="2" s="1"/>
  <c r="O342" i="2"/>
  <c r="F342" i="2"/>
  <c r="L342" i="2"/>
  <c r="P342" i="2"/>
  <c r="E338" i="2"/>
  <c r="K338" i="2"/>
  <c r="B338" i="2" s="1"/>
  <c r="O338" i="2"/>
  <c r="F338" i="2"/>
  <c r="L338" i="2"/>
  <c r="P338" i="2"/>
  <c r="E334" i="2"/>
  <c r="K334" i="2"/>
  <c r="B334" i="2" s="1"/>
  <c r="O334" i="2"/>
  <c r="F334" i="2"/>
  <c r="L334" i="2"/>
  <c r="P334" i="2"/>
  <c r="E330" i="2"/>
  <c r="K330" i="2"/>
  <c r="B330" i="2" s="1"/>
  <c r="O330" i="2"/>
  <c r="F330" i="2"/>
  <c r="L330" i="2"/>
  <c r="P330" i="2"/>
  <c r="E326" i="2"/>
  <c r="K326" i="2"/>
  <c r="B326" i="2" s="1"/>
  <c r="O326" i="2"/>
  <c r="F326" i="2"/>
  <c r="L326" i="2"/>
  <c r="P326" i="2"/>
  <c r="E322" i="2"/>
  <c r="K322" i="2"/>
  <c r="B322" i="2" s="1"/>
  <c r="O322" i="2"/>
  <c r="F322" i="2"/>
  <c r="L322" i="2"/>
  <c r="P322" i="2"/>
  <c r="E318" i="2"/>
  <c r="K318" i="2"/>
  <c r="B318" i="2" s="1"/>
  <c r="O318" i="2"/>
  <c r="F318" i="2"/>
  <c r="L318" i="2"/>
  <c r="P318" i="2"/>
  <c r="E314" i="2"/>
  <c r="K314" i="2"/>
  <c r="B314" i="2" s="1"/>
  <c r="O314" i="2"/>
  <c r="F314" i="2"/>
  <c r="L314" i="2"/>
  <c r="P314" i="2"/>
  <c r="E310" i="2"/>
  <c r="K310" i="2"/>
  <c r="B310" i="2" s="1"/>
  <c r="O310" i="2"/>
  <c r="F310" i="2"/>
  <c r="L310" i="2"/>
  <c r="P310" i="2"/>
  <c r="E306" i="2"/>
  <c r="K306" i="2"/>
  <c r="B306" i="2" s="1"/>
  <c r="O306" i="2"/>
  <c r="F306" i="2"/>
  <c r="L306" i="2"/>
  <c r="P306" i="2"/>
  <c r="E302" i="2"/>
  <c r="K302" i="2"/>
  <c r="B302" i="2" s="1"/>
  <c r="O302" i="2"/>
  <c r="F302" i="2"/>
  <c r="L302" i="2"/>
  <c r="P302" i="2"/>
  <c r="E298" i="2"/>
  <c r="K298" i="2"/>
  <c r="B298" i="2" s="1"/>
  <c r="O298" i="2"/>
  <c r="F298" i="2"/>
  <c r="L298" i="2"/>
  <c r="P298" i="2"/>
  <c r="E294" i="2"/>
  <c r="K294" i="2"/>
  <c r="B294" i="2" s="1"/>
  <c r="O294" i="2"/>
  <c r="F294" i="2"/>
  <c r="L294" i="2"/>
  <c r="P294" i="2"/>
  <c r="E290" i="2"/>
  <c r="K290" i="2"/>
  <c r="B290" i="2" s="1"/>
  <c r="O290" i="2"/>
  <c r="F290" i="2"/>
  <c r="L290" i="2"/>
  <c r="P290" i="2"/>
  <c r="E286" i="2"/>
  <c r="K286" i="2"/>
  <c r="B286" i="2" s="1"/>
  <c r="O286" i="2"/>
  <c r="F286" i="2"/>
  <c r="L286" i="2"/>
  <c r="P286" i="2"/>
  <c r="E282" i="2"/>
  <c r="K282" i="2"/>
  <c r="B282" i="2" s="1"/>
  <c r="O282" i="2"/>
  <c r="F282" i="2"/>
  <c r="L282" i="2"/>
  <c r="P282" i="2"/>
  <c r="E278" i="2"/>
  <c r="K278" i="2"/>
  <c r="B278" i="2" s="1"/>
  <c r="O278" i="2"/>
  <c r="F278" i="2"/>
  <c r="L278" i="2"/>
  <c r="P278" i="2"/>
  <c r="E274" i="2"/>
  <c r="K274" i="2"/>
  <c r="B274" i="2" s="1"/>
  <c r="O274" i="2"/>
  <c r="F274" i="2"/>
  <c r="L274" i="2"/>
  <c r="P274" i="2"/>
  <c r="E270" i="2"/>
  <c r="K270" i="2"/>
  <c r="B270" i="2" s="1"/>
  <c r="O270" i="2"/>
  <c r="F270" i="2"/>
  <c r="L270" i="2"/>
  <c r="P270" i="2"/>
  <c r="E266" i="2"/>
  <c r="K266" i="2"/>
  <c r="B266" i="2" s="1"/>
  <c r="O266" i="2"/>
  <c r="F266" i="2"/>
  <c r="L266" i="2"/>
  <c r="P266" i="2"/>
  <c r="E262" i="2"/>
  <c r="K262" i="2"/>
  <c r="B262" i="2" s="1"/>
  <c r="O262" i="2"/>
  <c r="F262" i="2"/>
  <c r="L262" i="2"/>
  <c r="P262" i="2"/>
  <c r="E258" i="2"/>
  <c r="K258" i="2"/>
  <c r="B258" i="2" s="1"/>
  <c r="O258" i="2"/>
  <c r="F258" i="2"/>
  <c r="L258" i="2"/>
  <c r="P258" i="2"/>
  <c r="E254" i="2"/>
  <c r="K254" i="2"/>
  <c r="B254" i="2" s="1"/>
  <c r="O254" i="2"/>
  <c r="F254" i="2"/>
  <c r="L254" i="2"/>
  <c r="P254" i="2"/>
  <c r="E250" i="2"/>
  <c r="K250" i="2"/>
  <c r="B250" i="2" s="1"/>
  <c r="O250" i="2"/>
  <c r="F250" i="2"/>
  <c r="L250" i="2"/>
  <c r="P250" i="2"/>
  <c r="E246" i="2"/>
  <c r="K246" i="2"/>
  <c r="B246" i="2" s="1"/>
  <c r="O246" i="2"/>
  <c r="F246" i="2"/>
  <c r="L246" i="2"/>
  <c r="P246" i="2"/>
  <c r="E242" i="2"/>
  <c r="K242" i="2"/>
  <c r="B242" i="2" s="1"/>
  <c r="O242" i="2"/>
  <c r="F242" i="2"/>
  <c r="L242" i="2"/>
  <c r="P242" i="2"/>
  <c r="E238" i="2"/>
  <c r="K238" i="2"/>
  <c r="B238" i="2" s="1"/>
  <c r="O238" i="2"/>
  <c r="F238" i="2"/>
  <c r="L238" i="2"/>
  <c r="P238" i="2"/>
  <c r="E234" i="2"/>
  <c r="K234" i="2"/>
  <c r="B234" i="2" s="1"/>
  <c r="O234" i="2"/>
  <c r="F234" i="2"/>
  <c r="L234" i="2"/>
  <c r="P234" i="2"/>
  <c r="E230" i="2"/>
  <c r="K230" i="2"/>
  <c r="B230" i="2" s="1"/>
  <c r="O230" i="2"/>
  <c r="F230" i="2"/>
  <c r="L230" i="2"/>
  <c r="P230" i="2"/>
  <c r="E226" i="2"/>
  <c r="K226" i="2"/>
  <c r="B226" i="2" s="1"/>
  <c r="O226" i="2"/>
  <c r="F226" i="2"/>
  <c r="L226" i="2"/>
  <c r="P226" i="2"/>
  <c r="E222" i="2"/>
  <c r="K222" i="2"/>
  <c r="B222" i="2" s="1"/>
  <c r="O222" i="2"/>
  <c r="F222" i="2"/>
  <c r="L222" i="2"/>
  <c r="P222" i="2"/>
  <c r="E218" i="2"/>
  <c r="K218" i="2"/>
  <c r="B218" i="2" s="1"/>
  <c r="O218" i="2"/>
  <c r="F218" i="2"/>
  <c r="L218" i="2"/>
  <c r="P218" i="2"/>
  <c r="E214" i="2"/>
  <c r="K214" i="2"/>
  <c r="B214" i="2" s="1"/>
  <c r="O214" i="2"/>
  <c r="F214" i="2"/>
  <c r="L214" i="2"/>
  <c r="P214" i="2"/>
  <c r="E210" i="2"/>
  <c r="K210" i="2"/>
  <c r="B210" i="2" s="1"/>
  <c r="O210" i="2"/>
  <c r="F210" i="2"/>
  <c r="L210" i="2"/>
  <c r="P210" i="2"/>
  <c r="E206" i="2"/>
  <c r="K206" i="2"/>
  <c r="B206" i="2" s="1"/>
  <c r="O206" i="2"/>
  <c r="F206" i="2"/>
  <c r="L206" i="2"/>
  <c r="P206" i="2"/>
  <c r="E202" i="2"/>
  <c r="K202" i="2"/>
  <c r="B202" i="2" s="1"/>
  <c r="O202" i="2"/>
  <c r="F202" i="2"/>
  <c r="L202" i="2"/>
  <c r="P202" i="2"/>
  <c r="E198" i="2"/>
  <c r="K198" i="2"/>
  <c r="B198" i="2" s="1"/>
  <c r="O198" i="2"/>
  <c r="F198" i="2"/>
  <c r="L198" i="2"/>
  <c r="P198" i="2"/>
  <c r="E194" i="2"/>
  <c r="K194" i="2"/>
  <c r="B194" i="2" s="1"/>
  <c r="O194" i="2"/>
  <c r="F194" i="2"/>
  <c r="L194" i="2"/>
  <c r="P194" i="2"/>
  <c r="E190" i="2"/>
  <c r="K190" i="2"/>
  <c r="B190" i="2" s="1"/>
  <c r="O190" i="2"/>
  <c r="F190" i="2"/>
  <c r="L190" i="2"/>
  <c r="P190" i="2"/>
  <c r="E186" i="2"/>
  <c r="K186" i="2"/>
  <c r="B186" i="2" s="1"/>
  <c r="O186" i="2"/>
  <c r="F186" i="2"/>
  <c r="L186" i="2"/>
  <c r="P186" i="2"/>
  <c r="E182" i="2"/>
  <c r="K182" i="2"/>
  <c r="B182" i="2" s="1"/>
  <c r="O182" i="2"/>
  <c r="F182" i="2"/>
  <c r="L182" i="2"/>
  <c r="P182" i="2"/>
  <c r="E178" i="2"/>
  <c r="K178" i="2"/>
  <c r="B178" i="2" s="1"/>
  <c r="O178" i="2"/>
  <c r="F178" i="2"/>
  <c r="L178" i="2"/>
  <c r="P178" i="2"/>
  <c r="E174" i="2"/>
  <c r="K174" i="2"/>
  <c r="B174" i="2" s="1"/>
  <c r="O174" i="2"/>
  <c r="F174" i="2"/>
  <c r="L174" i="2"/>
  <c r="P174" i="2"/>
  <c r="G170" i="2"/>
  <c r="M170" i="2"/>
  <c r="Q170" i="2"/>
  <c r="H170" i="2"/>
  <c r="N170" i="2"/>
  <c r="R170" i="2"/>
  <c r="K170" i="2"/>
  <c r="B170" i="2" s="1"/>
  <c r="L170" i="2"/>
  <c r="G166" i="2"/>
  <c r="M166" i="2"/>
  <c r="Q166" i="2"/>
  <c r="H166" i="2"/>
  <c r="N166" i="2"/>
  <c r="R166" i="2"/>
  <c r="K166" i="2"/>
  <c r="B166" i="2" s="1"/>
  <c r="L166" i="2"/>
  <c r="G162" i="2"/>
  <c r="M162" i="2"/>
  <c r="Q162" i="2"/>
  <c r="H162" i="2"/>
  <c r="N162" i="2"/>
  <c r="R162" i="2"/>
  <c r="K162" i="2"/>
  <c r="B162" i="2" s="1"/>
  <c r="L162" i="2"/>
  <c r="G158" i="2"/>
  <c r="M158" i="2"/>
  <c r="Q158" i="2"/>
  <c r="H158" i="2"/>
  <c r="N158" i="2"/>
  <c r="R158" i="2"/>
  <c r="K158" i="2"/>
  <c r="B158" i="2" s="1"/>
  <c r="L158" i="2"/>
  <c r="G154" i="2"/>
  <c r="M154" i="2"/>
  <c r="Q154" i="2"/>
  <c r="H154" i="2"/>
  <c r="N154" i="2"/>
  <c r="R154" i="2"/>
  <c r="K154" i="2"/>
  <c r="B154" i="2" s="1"/>
  <c r="L154" i="2"/>
  <c r="G150" i="2"/>
  <c r="M150" i="2"/>
  <c r="Q150" i="2"/>
  <c r="H150" i="2"/>
  <c r="N150" i="2"/>
  <c r="R150" i="2"/>
  <c r="K150" i="2"/>
  <c r="B150" i="2" s="1"/>
  <c r="L150" i="2"/>
  <c r="G146" i="2"/>
  <c r="M146" i="2"/>
  <c r="Q146" i="2"/>
  <c r="H146" i="2"/>
  <c r="N146" i="2"/>
  <c r="R146" i="2"/>
  <c r="K146" i="2"/>
  <c r="B146" i="2" s="1"/>
  <c r="L146" i="2"/>
  <c r="G142" i="2"/>
  <c r="M142" i="2"/>
  <c r="Q142" i="2"/>
  <c r="H142" i="2"/>
  <c r="N142" i="2"/>
  <c r="R142" i="2"/>
  <c r="K142" i="2"/>
  <c r="B142" i="2" s="1"/>
  <c r="L142" i="2"/>
  <c r="G138" i="2"/>
  <c r="M138" i="2"/>
  <c r="Q138" i="2"/>
  <c r="H138" i="2"/>
  <c r="N138" i="2"/>
  <c r="R138" i="2"/>
  <c r="K138" i="2"/>
  <c r="B138" i="2" s="1"/>
  <c r="L138" i="2"/>
  <c r="G134" i="2"/>
  <c r="M134" i="2"/>
  <c r="Q134" i="2"/>
  <c r="H134" i="2"/>
  <c r="N134" i="2"/>
  <c r="R134" i="2"/>
  <c r="K134" i="2"/>
  <c r="B134" i="2" s="1"/>
  <c r="L134" i="2"/>
  <c r="G130" i="2"/>
  <c r="M130" i="2"/>
  <c r="Q130" i="2"/>
  <c r="H130" i="2"/>
  <c r="N130" i="2"/>
  <c r="R130" i="2"/>
  <c r="K130" i="2"/>
  <c r="B130" i="2" s="1"/>
  <c r="L130" i="2"/>
  <c r="G126" i="2"/>
  <c r="M126" i="2"/>
  <c r="Q126" i="2"/>
  <c r="H126" i="2"/>
  <c r="N126" i="2"/>
  <c r="R126" i="2"/>
  <c r="K126" i="2"/>
  <c r="B126" i="2" s="1"/>
  <c r="L126" i="2"/>
  <c r="G122" i="2"/>
  <c r="M122" i="2"/>
  <c r="Q122" i="2"/>
  <c r="H122" i="2"/>
  <c r="N122" i="2"/>
  <c r="R122" i="2"/>
  <c r="K122" i="2"/>
  <c r="B122" i="2" s="1"/>
  <c r="L122" i="2"/>
  <c r="G118" i="2"/>
  <c r="M118" i="2"/>
  <c r="Q118" i="2"/>
  <c r="H118" i="2"/>
  <c r="N118" i="2"/>
  <c r="R118" i="2"/>
  <c r="K118" i="2"/>
  <c r="B118" i="2" s="1"/>
  <c r="L118" i="2"/>
  <c r="G114" i="2"/>
  <c r="M114" i="2"/>
  <c r="Q114" i="2"/>
  <c r="H114" i="2"/>
  <c r="N114" i="2"/>
  <c r="R114" i="2"/>
  <c r="K114" i="2"/>
  <c r="B114" i="2" s="1"/>
  <c r="L114" i="2"/>
  <c r="G110" i="2"/>
  <c r="M110" i="2"/>
  <c r="Q110" i="2"/>
  <c r="H110" i="2"/>
  <c r="N110" i="2"/>
  <c r="R110" i="2"/>
  <c r="K110" i="2"/>
  <c r="B110" i="2" s="1"/>
  <c r="L110" i="2"/>
  <c r="G106" i="2"/>
  <c r="M106" i="2"/>
  <c r="Q106" i="2"/>
  <c r="H106" i="2"/>
  <c r="N106" i="2"/>
  <c r="R106" i="2"/>
  <c r="K106" i="2"/>
  <c r="B106" i="2" s="1"/>
  <c r="L106" i="2"/>
  <c r="G102" i="2"/>
  <c r="M102" i="2"/>
  <c r="Q102" i="2"/>
  <c r="H102" i="2"/>
  <c r="N102" i="2"/>
  <c r="R102" i="2"/>
  <c r="K102" i="2"/>
  <c r="B102" i="2" s="1"/>
  <c r="L102" i="2"/>
  <c r="G98" i="2"/>
  <c r="M98" i="2"/>
  <c r="Q98" i="2"/>
  <c r="H98" i="2"/>
  <c r="N98" i="2"/>
  <c r="R98" i="2"/>
  <c r="K98" i="2"/>
  <c r="B98" i="2" s="1"/>
  <c r="L98" i="2"/>
  <c r="G94" i="2"/>
  <c r="M94" i="2"/>
  <c r="Q94" i="2"/>
  <c r="H94" i="2"/>
  <c r="N94" i="2"/>
  <c r="R94" i="2"/>
  <c r="K94" i="2"/>
  <c r="B94" i="2" s="1"/>
  <c r="L94" i="2"/>
  <c r="F90" i="2"/>
  <c r="L90" i="2"/>
  <c r="P90" i="2"/>
  <c r="H90" i="2"/>
  <c r="O90" i="2"/>
  <c r="K90" i="2"/>
  <c r="B90" i="2" s="1"/>
  <c r="Q90" i="2"/>
  <c r="E90" i="2"/>
  <c r="R90" i="2"/>
  <c r="G90" i="2"/>
  <c r="F86" i="2"/>
  <c r="L86" i="2"/>
  <c r="P86" i="2"/>
  <c r="H86" i="2"/>
  <c r="O86" i="2"/>
  <c r="K86" i="2"/>
  <c r="B86" i="2" s="1"/>
  <c r="Q86" i="2"/>
  <c r="M86" i="2"/>
  <c r="N86" i="2"/>
  <c r="F82" i="2"/>
  <c r="L82" i="2"/>
  <c r="P82" i="2"/>
  <c r="H82" i="2"/>
  <c r="O82" i="2"/>
  <c r="K82" i="2"/>
  <c r="B82" i="2" s="1"/>
  <c r="Q82" i="2"/>
  <c r="E82" i="2"/>
  <c r="R82" i="2"/>
  <c r="G82" i="2"/>
  <c r="G78" i="2"/>
  <c r="M78" i="2"/>
  <c r="Q78" i="2"/>
  <c r="E78" i="2"/>
  <c r="L78" i="2"/>
  <c r="R78" i="2"/>
  <c r="K78" i="2"/>
  <c r="B78" i="2" s="1"/>
  <c r="N78" i="2"/>
  <c r="F78" i="2"/>
  <c r="H78" i="2"/>
  <c r="G74" i="2"/>
  <c r="M74" i="2"/>
  <c r="Q74" i="2"/>
  <c r="E74" i="2"/>
  <c r="L74" i="2"/>
  <c r="R74" i="2"/>
  <c r="H74" i="2"/>
  <c r="P74" i="2"/>
  <c r="K74" i="2"/>
  <c r="B74" i="2" s="1"/>
  <c r="N74" i="2"/>
  <c r="O74" i="2"/>
  <c r="G70" i="2"/>
  <c r="M70" i="2"/>
  <c r="Q70" i="2"/>
  <c r="E70" i="2"/>
  <c r="L70" i="2"/>
  <c r="R70" i="2"/>
  <c r="F70" i="2"/>
  <c r="O70" i="2"/>
  <c r="H70" i="2"/>
  <c r="P70" i="2"/>
  <c r="G66" i="2"/>
  <c r="M66" i="2"/>
  <c r="Q66" i="2"/>
  <c r="E66" i="2"/>
  <c r="L66" i="2"/>
  <c r="R66" i="2"/>
  <c r="N66" i="2"/>
  <c r="F66" i="2"/>
  <c r="O66" i="2"/>
  <c r="H66" i="2"/>
  <c r="K66" i="2"/>
  <c r="B66" i="2" s="1"/>
  <c r="G62" i="2"/>
  <c r="M62" i="2"/>
  <c r="Q62" i="2"/>
  <c r="E62" i="2"/>
  <c r="L62" i="2"/>
  <c r="R62" i="2"/>
  <c r="K62" i="2"/>
  <c r="B62" i="2" s="1"/>
  <c r="N62" i="2"/>
  <c r="O62" i="2"/>
  <c r="P62" i="2"/>
  <c r="P497" i="2"/>
  <c r="L497" i="2"/>
  <c r="F497" i="2"/>
  <c r="P496" i="2"/>
  <c r="L496" i="2"/>
  <c r="F496" i="2"/>
  <c r="P495" i="2"/>
  <c r="L495" i="2"/>
  <c r="F495" i="2"/>
  <c r="P494" i="2"/>
  <c r="L494" i="2"/>
  <c r="F494" i="2"/>
  <c r="P493" i="2"/>
  <c r="L493" i="2"/>
  <c r="F493" i="2"/>
  <c r="P492" i="2"/>
  <c r="L492" i="2"/>
  <c r="F492" i="2"/>
  <c r="P491" i="2"/>
  <c r="L491" i="2"/>
  <c r="F491" i="2"/>
  <c r="P490" i="2"/>
  <c r="L490" i="2"/>
  <c r="F490" i="2"/>
  <c r="P489" i="2"/>
  <c r="L489" i="2"/>
  <c r="F489" i="2"/>
  <c r="P488" i="2"/>
  <c r="L488" i="2"/>
  <c r="F488" i="2"/>
  <c r="P487" i="2"/>
  <c r="L487" i="2"/>
  <c r="F487" i="2"/>
  <c r="P486" i="2"/>
  <c r="L486" i="2"/>
  <c r="F486" i="2"/>
  <c r="P485" i="2"/>
  <c r="L485" i="2"/>
  <c r="F485" i="2"/>
  <c r="P484" i="2"/>
  <c r="L484" i="2"/>
  <c r="F484" i="2"/>
  <c r="P483" i="2"/>
  <c r="L483" i="2"/>
  <c r="F483" i="2"/>
  <c r="P482" i="2"/>
  <c r="L482" i="2"/>
  <c r="F482" i="2"/>
  <c r="P481" i="2"/>
  <c r="L481" i="2"/>
  <c r="F481" i="2"/>
  <c r="P480" i="2"/>
  <c r="L480" i="2"/>
  <c r="F480" i="2"/>
  <c r="P479" i="2"/>
  <c r="L479" i="2"/>
  <c r="F479" i="2"/>
  <c r="P478" i="2"/>
  <c r="L478" i="2"/>
  <c r="F478" i="2"/>
  <c r="P477" i="2"/>
  <c r="L477" i="2"/>
  <c r="F477" i="2"/>
  <c r="P476" i="2"/>
  <c r="L476" i="2"/>
  <c r="F476" i="2"/>
  <c r="P475" i="2"/>
  <c r="L475" i="2"/>
  <c r="F475" i="2"/>
  <c r="P474" i="2"/>
  <c r="L474" i="2"/>
  <c r="F474" i="2"/>
  <c r="P473" i="2"/>
  <c r="L473" i="2"/>
  <c r="F473" i="2"/>
  <c r="P472" i="2"/>
  <c r="L472" i="2"/>
  <c r="F472" i="2"/>
  <c r="P471" i="2"/>
  <c r="L471" i="2"/>
  <c r="F471" i="2"/>
  <c r="P470" i="2"/>
  <c r="L470" i="2"/>
  <c r="F470" i="2"/>
  <c r="P469" i="2"/>
  <c r="L469" i="2"/>
  <c r="F469" i="2"/>
  <c r="P468" i="2"/>
  <c r="L468" i="2"/>
  <c r="F468" i="2"/>
  <c r="P467" i="2"/>
  <c r="L467" i="2"/>
  <c r="F467" i="2"/>
  <c r="P466" i="2"/>
  <c r="L466" i="2"/>
  <c r="F466" i="2"/>
  <c r="P465" i="2"/>
  <c r="L465" i="2"/>
  <c r="F465" i="2"/>
  <c r="P464" i="2"/>
  <c r="L464" i="2"/>
  <c r="F464" i="2"/>
  <c r="P463" i="2"/>
  <c r="L463" i="2"/>
  <c r="F463" i="2"/>
  <c r="P462" i="2"/>
  <c r="L462" i="2"/>
  <c r="F462" i="2"/>
  <c r="P461" i="2"/>
  <c r="L461" i="2"/>
  <c r="F461" i="2"/>
  <c r="P460" i="2"/>
  <c r="L460" i="2"/>
  <c r="F460" i="2"/>
  <c r="P459" i="2"/>
  <c r="L459" i="2"/>
  <c r="F459" i="2"/>
  <c r="P458" i="2"/>
  <c r="L458" i="2"/>
  <c r="F458" i="2"/>
  <c r="P457" i="2"/>
  <c r="L457" i="2"/>
  <c r="F457" i="2"/>
  <c r="P456" i="2"/>
  <c r="L456" i="2"/>
  <c r="F456" i="2"/>
  <c r="P455" i="2"/>
  <c r="L455" i="2"/>
  <c r="F455" i="2"/>
  <c r="P454" i="2"/>
  <c r="L454" i="2"/>
  <c r="F454" i="2"/>
  <c r="P453" i="2"/>
  <c r="L453" i="2"/>
  <c r="F453" i="2"/>
  <c r="P452" i="2"/>
  <c r="L452" i="2"/>
  <c r="F452" i="2"/>
  <c r="P451" i="2"/>
  <c r="L451" i="2"/>
  <c r="F451" i="2"/>
  <c r="P450" i="2"/>
  <c r="L450" i="2"/>
  <c r="F450" i="2"/>
  <c r="P449" i="2"/>
  <c r="L449" i="2"/>
  <c r="F449" i="2"/>
  <c r="P448" i="2"/>
  <c r="L448" i="2"/>
  <c r="F448" i="2"/>
  <c r="P447" i="2"/>
  <c r="L447" i="2"/>
  <c r="F447" i="2"/>
  <c r="P446" i="2"/>
  <c r="L446" i="2"/>
  <c r="F446" i="2"/>
  <c r="P445" i="2"/>
  <c r="L445" i="2"/>
  <c r="F445" i="2"/>
  <c r="P444" i="2"/>
  <c r="L444" i="2"/>
  <c r="F444" i="2"/>
  <c r="P443" i="2"/>
  <c r="L443" i="2"/>
  <c r="F443" i="2"/>
  <c r="P442" i="2"/>
  <c r="L442" i="2"/>
  <c r="F442" i="2"/>
  <c r="P441" i="2"/>
  <c r="L441" i="2"/>
  <c r="F441" i="2"/>
  <c r="P440" i="2"/>
  <c r="L440" i="2"/>
  <c r="F440" i="2"/>
  <c r="P439" i="2"/>
  <c r="L439" i="2"/>
  <c r="F439" i="2"/>
  <c r="P438" i="2"/>
  <c r="L438" i="2"/>
  <c r="F438" i="2"/>
  <c r="P437" i="2"/>
  <c r="L437" i="2"/>
  <c r="F437" i="2"/>
  <c r="P436" i="2"/>
  <c r="L436" i="2"/>
  <c r="F436" i="2"/>
  <c r="P435" i="2"/>
  <c r="L435" i="2"/>
  <c r="F435" i="2"/>
  <c r="P434" i="2"/>
  <c r="L434" i="2"/>
  <c r="F434" i="2"/>
  <c r="P433" i="2"/>
  <c r="L433" i="2"/>
  <c r="F433" i="2"/>
  <c r="P432" i="2"/>
  <c r="L432" i="2"/>
  <c r="F432" i="2"/>
  <c r="P431" i="2"/>
  <c r="L431" i="2"/>
  <c r="F431" i="2"/>
  <c r="P430" i="2"/>
  <c r="L430" i="2"/>
  <c r="F430" i="2"/>
  <c r="P429" i="2"/>
  <c r="L429" i="2"/>
  <c r="F429" i="2"/>
  <c r="P428" i="2"/>
  <c r="L428" i="2"/>
  <c r="F428" i="2"/>
  <c r="P427" i="2"/>
  <c r="L427" i="2"/>
  <c r="F427" i="2"/>
  <c r="P426" i="2"/>
  <c r="L426" i="2"/>
  <c r="F426" i="2"/>
  <c r="P425" i="2"/>
  <c r="L425" i="2"/>
  <c r="F425" i="2"/>
  <c r="P424" i="2"/>
  <c r="L424" i="2"/>
  <c r="F424" i="2"/>
  <c r="P423" i="2"/>
  <c r="L423" i="2"/>
  <c r="F423" i="2"/>
  <c r="P422" i="2"/>
  <c r="L422" i="2"/>
  <c r="F422" i="2"/>
  <c r="P421" i="2"/>
  <c r="L421" i="2"/>
  <c r="F421" i="2"/>
  <c r="P420" i="2"/>
  <c r="L420" i="2"/>
  <c r="F420" i="2"/>
  <c r="P419" i="2"/>
  <c r="L419" i="2"/>
  <c r="F419" i="2"/>
  <c r="P418" i="2"/>
  <c r="L418" i="2"/>
  <c r="F418" i="2"/>
  <c r="P417" i="2"/>
  <c r="L417" i="2"/>
  <c r="F417" i="2"/>
  <c r="P416" i="2"/>
  <c r="L416" i="2"/>
  <c r="F416" i="2"/>
  <c r="P415" i="2"/>
  <c r="L415" i="2"/>
  <c r="F415" i="2"/>
  <c r="P414" i="2"/>
  <c r="L414" i="2"/>
  <c r="F414" i="2"/>
  <c r="P413" i="2"/>
  <c r="L413" i="2"/>
  <c r="F413" i="2"/>
  <c r="P412" i="2"/>
  <c r="L412" i="2"/>
  <c r="F412" i="2"/>
  <c r="P411" i="2"/>
  <c r="L411" i="2"/>
  <c r="F411" i="2"/>
  <c r="P410" i="2"/>
  <c r="L410" i="2"/>
  <c r="F410" i="2"/>
  <c r="P409" i="2"/>
  <c r="L409" i="2"/>
  <c r="F409" i="2"/>
  <c r="P408" i="2"/>
  <c r="L408" i="2"/>
  <c r="F408" i="2"/>
  <c r="P407" i="2"/>
  <c r="L407" i="2"/>
  <c r="F407" i="2"/>
  <c r="P406" i="2"/>
  <c r="L406" i="2"/>
  <c r="F406" i="2"/>
  <c r="P405" i="2"/>
  <c r="L405" i="2"/>
  <c r="F405" i="2"/>
  <c r="P404" i="2"/>
  <c r="L404" i="2"/>
  <c r="F404" i="2"/>
  <c r="P403" i="2"/>
  <c r="L403" i="2"/>
  <c r="F403" i="2"/>
  <c r="P402" i="2"/>
  <c r="L402" i="2"/>
  <c r="F402" i="2"/>
  <c r="P401" i="2"/>
  <c r="L401" i="2"/>
  <c r="F401" i="2"/>
  <c r="P400" i="2"/>
  <c r="L400" i="2"/>
  <c r="F400" i="2"/>
  <c r="P399" i="2"/>
  <c r="L399" i="2"/>
  <c r="F399" i="2"/>
  <c r="P398" i="2"/>
  <c r="L398" i="2"/>
  <c r="F398" i="2"/>
  <c r="P397" i="2"/>
  <c r="L397" i="2"/>
  <c r="F397" i="2"/>
  <c r="P396" i="2"/>
  <c r="L396" i="2"/>
  <c r="F396" i="2"/>
  <c r="P395" i="2"/>
  <c r="L395" i="2"/>
  <c r="F395" i="2"/>
  <c r="P394" i="2"/>
  <c r="L394" i="2"/>
  <c r="F394" i="2"/>
  <c r="P393" i="2"/>
  <c r="L393" i="2"/>
  <c r="F393" i="2"/>
  <c r="P392" i="2"/>
  <c r="L392" i="2"/>
  <c r="F392" i="2"/>
  <c r="P391" i="2"/>
  <c r="L391" i="2"/>
  <c r="F391" i="2"/>
  <c r="P390" i="2"/>
  <c r="L390" i="2"/>
  <c r="F390" i="2"/>
  <c r="P389" i="2"/>
  <c r="L389" i="2"/>
  <c r="F389" i="2"/>
  <c r="P388" i="2"/>
  <c r="L388" i="2"/>
  <c r="F388" i="2"/>
  <c r="P387" i="2"/>
  <c r="L387" i="2"/>
  <c r="F387" i="2"/>
  <c r="P386" i="2"/>
  <c r="L386" i="2"/>
  <c r="F386" i="2"/>
  <c r="P385" i="2"/>
  <c r="L385" i="2"/>
  <c r="F385" i="2"/>
  <c r="P384" i="2"/>
  <c r="L384" i="2"/>
  <c r="F384" i="2"/>
  <c r="P383" i="2"/>
  <c r="L383" i="2"/>
  <c r="F383" i="2"/>
  <c r="P382" i="2"/>
  <c r="L382" i="2"/>
  <c r="F382" i="2"/>
  <c r="P381" i="2"/>
  <c r="L381" i="2"/>
  <c r="F381" i="2"/>
  <c r="P380" i="2"/>
  <c r="L380" i="2"/>
  <c r="F380" i="2"/>
  <c r="P379" i="2"/>
  <c r="L379" i="2"/>
  <c r="F379" i="2"/>
  <c r="P378" i="2"/>
  <c r="L378" i="2"/>
  <c r="F378" i="2"/>
  <c r="P377" i="2"/>
  <c r="L377" i="2"/>
  <c r="F377" i="2"/>
  <c r="P376" i="2"/>
  <c r="L376" i="2"/>
  <c r="F376" i="2"/>
  <c r="P375" i="2"/>
  <c r="L375" i="2"/>
  <c r="F375" i="2"/>
  <c r="P374" i="2"/>
  <c r="L374" i="2"/>
  <c r="F374" i="2"/>
  <c r="P373" i="2"/>
  <c r="L373" i="2"/>
  <c r="F373" i="2"/>
  <c r="P372" i="2"/>
  <c r="L372" i="2"/>
  <c r="F372" i="2"/>
  <c r="P371" i="2"/>
  <c r="L371" i="2"/>
  <c r="F371" i="2"/>
  <c r="P370" i="2"/>
  <c r="L370" i="2"/>
  <c r="F370" i="2"/>
  <c r="P369" i="2"/>
  <c r="L369" i="2"/>
  <c r="F369" i="2"/>
  <c r="P368" i="2"/>
  <c r="L368" i="2"/>
  <c r="F368" i="2"/>
  <c r="P367" i="2"/>
  <c r="L367" i="2"/>
  <c r="F367" i="2"/>
  <c r="P366" i="2"/>
  <c r="L366" i="2"/>
  <c r="F366" i="2"/>
  <c r="P365" i="2"/>
  <c r="L365" i="2"/>
  <c r="F365" i="2"/>
  <c r="P364" i="2"/>
  <c r="L364" i="2"/>
  <c r="F364" i="2"/>
  <c r="P363" i="2"/>
  <c r="L363" i="2"/>
  <c r="F363" i="2"/>
  <c r="P362" i="2"/>
  <c r="L362" i="2"/>
  <c r="F362" i="2"/>
  <c r="P361" i="2"/>
  <c r="L361" i="2"/>
  <c r="F361" i="2"/>
  <c r="P360" i="2"/>
  <c r="L360" i="2"/>
  <c r="F360" i="2"/>
  <c r="P359" i="2"/>
  <c r="L359" i="2"/>
  <c r="F359" i="2"/>
  <c r="P358" i="2"/>
  <c r="L358" i="2"/>
  <c r="F358" i="2"/>
  <c r="P357" i="2"/>
  <c r="L357" i="2"/>
  <c r="F357" i="2"/>
  <c r="P356" i="2"/>
  <c r="L356" i="2"/>
  <c r="F356" i="2"/>
  <c r="P355" i="2"/>
  <c r="L355" i="2"/>
  <c r="F355" i="2"/>
  <c r="P354" i="2"/>
  <c r="L354" i="2"/>
  <c r="F354" i="2"/>
  <c r="P353" i="2"/>
  <c r="L353" i="2"/>
  <c r="F353" i="2"/>
  <c r="P352" i="2"/>
  <c r="L352" i="2"/>
  <c r="F352" i="2"/>
  <c r="P351" i="2"/>
  <c r="L351" i="2"/>
  <c r="F351" i="2"/>
  <c r="P350" i="2"/>
  <c r="L350" i="2"/>
  <c r="F350" i="2"/>
  <c r="P349" i="2"/>
  <c r="L349" i="2"/>
  <c r="F349" i="2"/>
  <c r="P348" i="2"/>
  <c r="L348" i="2"/>
  <c r="F348" i="2"/>
  <c r="P347" i="2"/>
  <c r="L347" i="2"/>
  <c r="F347" i="2"/>
  <c r="P346" i="2"/>
  <c r="L346" i="2"/>
  <c r="F346" i="2"/>
  <c r="P345" i="2"/>
  <c r="L345" i="2"/>
  <c r="F345" i="2"/>
  <c r="P344" i="2"/>
  <c r="L344" i="2"/>
  <c r="F344" i="2"/>
  <c r="P343" i="2"/>
  <c r="L343" i="2"/>
  <c r="F343" i="2"/>
  <c r="N342" i="2"/>
  <c r="R341" i="2"/>
  <c r="N340" i="2"/>
  <c r="R339" i="2"/>
  <c r="H339" i="2"/>
  <c r="N338" i="2"/>
  <c r="R337" i="2"/>
  <c r="R335" i="2"/>
  <c r="H335" i="2"/>
  <c r="N334" i="2"/>
  <c r="R333" i="2"/>
  <c r="N332" i="2"/>
  <c r="R331" i="2"/>
  <c r="H331" i="2"/>
  <c r="N330" i="2"/>
  <c r="R329" i="2"/>
  <c r="R327" i="2"/>
  <c r="H327" i="2"/>
  <c r="N326" i="2"/>
  <c r="R325" i="2"/>
  <c r="N324" i="2"/>
  <c r="R323" i="2"/>
  <c r="H323" i="2"/>
  <c r="N322" i="2"/>
  <c r="R321" i="2"/>
  <c r="R319" i="2"/>
  <c r="H319" i="2"/>
  <c r="N318" i="2"/>
  <c r="R317" i="2"/>
  <c r="N316" i="2"/>
  <c r="R315" i="2"/>
  <c r="H315" i="2"/>
  <c r="N314" i="2"/>
  <c r="R313" i="2"/>
  <c r="R311" i="2"/>
  <c r="H311" i="2"/>
  <c r="N310" i="2"/>
  <c r="R309" i="2"/>
  <c r="N308" i="2"/>
  <c r="R307" i="2"/>
  <c r="H307" i="2"/>
  <c r="N306" i="2"/>
  <c r="R305" i="2"/>
  <c r="R303" i="2"/>
  <c r="H303" i="2"/>
  <c r="N302" i="2"/>
  <c r="R301" i="2"/>
  <c r="N300" i="2"/>
  <c r="R299" i="2"/>
  <c r="H299" i="2"/>
  <c r="N298" i="2"/>
  <c r="R297" i="2"/>
  <c r="R295" i="2"/>
  <c r="H295" i="2"/>
  <c r="N294" i="2"/>
  <c r="R293" i="2"/>
  <c r="N292" i="2"/>
  <c r="R291" i="2"/>
  <c r="H291" i="2"/>
  <c r="N290" i="2"/>
  <c r="R289" i="2"/>
  <c r="R287" i="2"/>
  <c r="H287" i="2"/>
  <c r="N286" i="2"/>
  <c r="R285" i="2"/>
  <c r="N284" i="2"/>
  <c r="R283" i="2"/>
  <c r="H283" i="2"/>
  <c r="N282" i="2"/>
  <c r="R281" i="2"/>
  <c r="R279" i="2"/>
  <c r="H279" i="2"/>
  <c r="N278" i="2"/>
  <c r="R277" i="2"/>
  <c r="N276" i="2"/>
  <c r="R275" i="2"/>
  <c r="H275" i="2"/>
  <c r="N274" i="2"/>
  <c r="R273" i="2"/>
  <c r="R271" i="2"/>
  <c r="H271" i="2"/>
  <c r="N270" i="2"/>
  <c r="R269" i="2"/>
  <c r="N268" i="2"/>
  <c r="R267" i="2"/>
  <c r="H267" i="2"/>
  <c r="N266" i="2"/>
  <c r="R265" i="2"/>
  <c r="R263" i="2"/>
  <c r="H263" i="2"/>
  <c r="N262" i="2"/>
  <c r="R261" i="2"/>
  <c r="N260" i="2"/>
  <c r="R259" i="2"/>
  <c r="H259" i="2"/>
  <c r="N258" i="2"/>
  <c r="R257" i="2"/>
  <c r="R255" i="2"/>
  <c r="H255" i="2"/>
  <c r="N254" i="2"/>
  <c r="R253" i="2"/>
  <c r="N252" i="2"/>
  <c r="R251" i="2"/>
  <c r="H251" i="2"/>
  <c r="N250" i="2"/>
  <c r="R249" i="2"/>
  <c r="R247" i="2"/>
  <c r="H247" i="2"/>
  <c r="N246" i="2"/>
  <c r="R245" i="2"/>
  <c r="N244" i="2"/>
  <c r="R243" i="2"/>
  <c r="H243" i="2"/>
  <c r="N242" i="2"/>
  <c r="R241" i="2"/>
  <c r="R239" i="2"/>
  <c r="H239" i="2"/>
  <c r="N238" i="2"/>
  <c r="R237" i="2"/>
  <c r="N236" i="2"/>
  <c r="R235" i="2"/>
  <c r="H235" i="2"/>
  <c r="N234" i="2"/>
  <c r="R233" i="2"/>
  <c r="R231" i="2"/>
  <c r="H231" i="2"/>
  <c r="N230" i="2"/>
  <c r="R229" i="2"/>
  <c r="N228" i="2"/>
  <c r="R227" i="2"/>
  <c r="H227" i="2"/>
  <c r="N226" i="2"/>
  <c r="R225" i="2"/>
  <c r="N224" i="2"/>
  <c r="R223" i="2"/>
  <c r="H223" i="2"/>
  <c r="N222" i="2"/>
  <c r="R221" i="2"/>
  <c r="R219" i="2"/>
  <c r="H219" i="2"/>
  <c r="N218" i="2"/>
  <c r="R217" i="2"/>
  <c r="N216" i="2"/>
  <c r="R215" i="2"/>
  <c r="H215" i="2"/>
  <c r="N214" i="2"/>
  <c r="R213" i="2"/>
  <c r="R211" i="2"/>
  <c r="H211" i="2"/>
  <c r="N210" i="2"/>
  <c r="R209" i="2"/>
  <c r="N208" i="2"/>
  <c r="R207" i="2"/>
  <c r="H207" i="2"/>
  <c r="N206" i="2"/>
  <c r="R205" i="2"/>
  <c r="R203" i="2"/>
  <c r="H203" i="2"/>
  <c r="N202" i="2"/>
  <c r="R201" i="2"/>
  <c r="N200" i="2"/>
  <c r="R199" i="2"/>
  <c r="H199" i="2"/>
  <c r="N198" i="2"/>
  <c r="R197" i="2"/>
  <c r="R195" i="2"/>
  <c r="H195" i="2"/>
  <c r="N194" i="2"/>
  <c r="R193" i="2"/>
  <c r="N192" i="2"/>
  <c r="R191" i="2"/>
  <c r="H191" i="2"/>
  <c r="N190" i="2"/>
  <c r="R189" i="2"/>
  <c r="R187" i="2"/>
  <c r="H187" i="2"/>
  <c r="N186" i="2"/>
  <c r="R185" i="2"/>
  <c r="R183" i="2"/>
  <c r="H183" i="2"/>
  <c r="N182" i="2"/>
  <c r="R181" i="2"/>
  <c r="N180" i="2"/>
  <c r="R179" i="2"/>
  <c r="H179" i="2"/>
  <c r="N178" i="2"/>
  <c r="R177" i="2"/>
  <c r="R175" i="2"/>
  <c r="N174" i="2"/>
  <c r="R173" i="2"/>
  <c r="N172" i="2"/>
  <c r="L171" i="2"/>
  <c r="F170" i="2"/>
  <c r="P168" i="2"/>
  <c r="F166" i="2"/>
  <c r="L163" i="2"/>
  <c r="F162" i="2"/>
  <c r="P160" i="2"/>
  <c r="F158" i="2"/>
  <c r="L155" i="2"/>
  <c r="F154" i="2"/>
  <c r="P152" i="2"/>
  <c r="F150" i="2"/>
  <c r="L147" i="2"/>
  <c r="F146" i="2"/>
  <c r="F142" i="2"/>
  <c r="P140" i="2"/>
  <c r="L139" i="2"/>
  <c r="F138" i="2"/>
  <c r="F134" i="2"/>
  <c r="P132" i="2"/>
  <c r="L131" i="2"/>
  <c r="F130" i="2"/>
  <c r="F126" i="2"/>
  <c r="P124" i="2"/>
  <c r="L123" i="2"/>
  <c r="F122" i="2"/>
  <c r="F118" i="2"/>
  <c r="P116" i="2"/>
  <c r="L115" i="2"/>
  <c r="F114" i="2"/>
  <c r="F110" i="2"/>
  <c r="P108" i="2"/>
  <c r="L107" i="2"/>
  <c r="F106" i="2"/>
  <c r="L103" i="2"/>
  <c r="F102" i="2"/>
  <c r="P100" i="2"/>
  <c r="F98" i="2"/>
  <c r="F94" i="2"/>
  <c r="K92" i="2"/>
  <c r="B92" i="2" s="1"/>
  <c r="N90" i="2"/>
  <c r="Q88" i="2"/>
  <c r="E87" i="2"/>
  <c r="R79" i="2"/>
  <c r="R72" i="2"/>
  <c r="N70" i="2"/>
  <c r="E336" i="2"/>
  <c r="K336" i="2"/>
  <c r="B336" i="2" s="1"/>
  <c r="O336" i="2"/>
  <c r="F336" i="2"/>
  <c r="L336" i="2"/>
  <c r="P336" i="2"/>
  <c r="E328" i="2"/>
  <c r="K328" i="2"/>
  <c r="B328" i="2" s="1"/>
  <c r="O328" i="2"/>
  <c r="F328" i="2"/>
  <c r="L328" i="2"/>
  <c r="P328" i="2"/>
  <c r="E320" i="2"/>
  <c r="K320" i="2"/>
  <c r="B320" i="2" s="1"/>
  <c r="O320" i="2"/>
  <c r="F320" i="2"/>
  <c r="L320" i="2"/>
  <c r="P320" i="2"/>
  <c r="E312" i="2"/>
  <c r="K312" i="2"/>
  <c r="B312" i="2" s="1"/>
  <c r="O312" i="2"/>
  <c r="F312" i="2"/>
  <c r="L312" i="2"/>
  <c r="P312" i="2"/>
  <c r="E304" i="2"/>
  <c r="K304" i="2"/>
  <c r="B304" i="2" s="1"/>
  <c r="O304" i="2"/>
  <c r="F304" i="2"/>
  <c r="L304" i="2"/>
  <c r="P304" i="2"/>
  <c r="E296" i="2"/>
  <c r="K296" i="2"/>
  <c r="B296" i="2" s="1"/>
  <c r="O296" i="2"/>
  <c r="F296" i="2"/>
  <c r="L296" i="2"/>
  <c r="P296" i="2"/>
  <c r="E288" i="2"/>
  <c r="K288" i="2"/>
  <c r="B288" i="2" s="1"/>
  <c r="O288" i="2"/>
  <c r="F288" i="2"/>
  <c r="L288" i="2"/>
  <c r="P288" i="2"/>
  <c r="E280" i="2"/>
  <c r="K280" i="2"/>
  <c r="B280" i="2" s="1"/>
  <c r="O280" i="2"/>
  <c r="F280" i="2"/>
  <c r="L280" i="2"/>
  <c r="P280" i="2"/>
  <c r="E272" i="2"/>
  <c r="K272" i="2"/>
  <c r="B272" i="2" s="1"/>
  <c r="O272" i="2"/>
  <c r="F272" i="2"/>
  <c r="L272" i="2"/>
  <c r="P272" i="2"/>
  <c r="E264" i="2"/>
  <c r="K264" i="2"/>
  <c r="B264" i="2" s="1"/>
  <c r="O264" i="2"/>
  <c r="F264" i="2"/>
  <c r="L264" i="2"/>
  <c r="P264" i="2"/>
  <c r="E256" i="2"/>
  <c r="K256" i="2"/>
  <c r="B256" i="2" s="1"/>
  <c r="O256" i="2"/>
  <c r="F256" i="2"/>
  <c r="L256" i="2"/>
  <c r="P256" i="2"/>
  <c r="E248" i="2"/>
  <c r="K248" i="2"/>
  <c r="B248" i="2" s="1"/>
  <c r="O248" i="2"/>
  <c r="F248" i="2"/>
  <c r="L248" i="2"/>
  <c r="P248" i="2"/>
  <c r="E240" i="2"/>
  <c r="K240" i="2"/>
  <c r="B240" i="2" s="1"/>
  <c r="O240" i="2"/>
  <c r="F240" i="2"/>
  <c r="L240" i="2"/>
  <c r="P240" i="2"/>
  <c r="E232" i="2"/>
  <c r="K232" i="2"/>
  <c r="B232" i="2" s="1"/>
  <c r="O232" i="2"/>
  <c r="F232" i="2"/>
  <c r="L232" i="2"/>
  <c r="P232" i="2"/>
  <c r="E220" i="2"/>
  <c r="K220" i="2"/>
  <c r="B220" i="2" s="1"/>
  <c r="O220" i="2"/>
  <c r="F220" i="2"/>
  <c r="L220" i="2"/>
  <c r="P220" i="2"/>
  <c r="E212" i="2"/>
  <c r="K212" i="2"/>
  <c r="B212" i="2" s="1"/>
  <c r="O212" i="2"/>
  <c r="F212" i="2"/>
  <c r="L212" i="2"/>
  <c r="P212" i="2"/>
  <c r="E204" i="2"/>
  <c r="K204" i="2"/>
  <c r="B204" i="2" s="1"/>
  <c r="O204" i="2"/>
  <c r="F204" i="2"/>
  <c r="L204" i="2"/>
  <c r="P204" i="2"/>
  <c r="E196" i="2"/>
  <c r="K196" i="2"/>
  <c r="B196" i="2" s="1"/>
  <c r="O196" i="2"/>
  <c r="F196" i="2"/>
  <c r="L196" i="2"/>
  <c r="P196" i="2"/>
  <c r="E188" i="2"/>
  <c r="K188" i="2"/>
  <c r="B188" i="2" s="1"/>
  <c r="O188" i="2"/>
  <c r="F188" i="2"/>
  <c r="L188" i="2"/>
  <c r="P188" i="2"/>
  <c r="E184" i="2"/>
  <c r="K184" i="2"/>
  <c r="B184" i="2" s="1"/>
  <c r="O184" i="2"/>
  <c r="F184" i="2"/>
  <c r="L184" i="2"/>
  <c r="P184" i="2"/>
  <c r="E176" i="2"/>
  <c r="K176" i="2"/>
  <c r="B176" i="2" s="1"/>
  <c r="O176" i="2"/>
  <c r="F176" i="2"/>
  <c r="L176" i="2"/>
  <c r="P176" i="2"/>
  <c r="G164" i="2"/>
  <c r="M164" i="2"/>
  <c r="Q164" i="2"/>
  <c r="H164" i="2"/>
  <c r="N164" i="2"/>
  <c r="R164" i="2"/>
  <c r="K164" i="2"/>
  <c r="B164" i="2" s="1"/>
  <c r="L164" i="2"/>
  <c r="G156" i="2"/>
  <c r="M156" i="2"/>
  <c r="Q156" i="2"/>
  <c r="H156" i="2"/>
  <c r="N156" i="2"/>
  <c r="R156" i="2"/>
  <c r="K156" i="2"/>
  <c r="B156" i="2" s="1"/>
  <c r="L156" i="2"/>
  <c r="G148" i="2"/>
  <c r="M148" i="2"/>
  <c r="Q148" i="2"/>
  <c r="H148" i="2"/>
  <c r="N148" i="2"/>
  <c r="R148" i="2"/>
  <c r="K148" i="2"/>
  <c r="B148" i="2" s="1"/>
  <c r="L148" i="2"/>
  <c r="G144" i="2"/>
  <c r="M144" i="2"/>
  <c r="Q144" i="2"/>
  <c r="H144" i="2"/>
  <c r="N144" i="2"/>
  <c r="R144" i="2"/>
  <c r="K144" i="2"/>
  <c r="B144" i="2" s="1"/>
  <c r="L144" i="2"/>
  <c r="G136" i="2"/>
  <c r="M136" i="2"/>
  <c r="Q136" i="2"/>
  <c r="H136" i="2"/>
  <c r="N136" i="2"/>
  <c r="R136" i="2"/>
  <c r="K136" i="2"/>
  <c r="B136" i="2" s="1"/>
  <c r="L136" i="2"/>
  <c r="G128" i="2"/>
  <c r="M128" i="2"/>
  <c r="Q128" i="2"/>
  <c r="H128" i="2"/>
  <c r="N128" i="2"/>
  <c r="R128" i="2"/>
  <c r="K128" i="2"/>
  <c r="B128" i="2" s="1"/>
  <c r="L128" i="2"/>
  <c r="G120" i="2"/>
  <c r="M120" i="2"/>
  <c r="Q120" i="2"/>
  <c r="H120" i="2"/>
  <c r="N120" i="2"/>
  <c r="R120" i="2"/>
  <c r="K120" i="2"/>
  <c r="B120" i="2" s="1"/>
  <c r="L120" i="2"/>
  <c r="G112" i="2"/>
  <c r="M112" i="2"/>
  <c r="Q112" i="2"/>
  <c r="H112" i="2"/>
  <c r="N112" i="2"/>
  <c r="R112" i="2"/>
  <c r="K112" i="2"/>
  <c r="B112" i="2" s="1"/>
  <c r="L112" i="2"/>
  <c r="G104" i="2"/>
  <c r="M104" i="2"/>
  <c r="Q104" i="2"/>
  <c r="H104" i="2"/>
  <c r="N104" i="2"/>
  <c r="R104" i="2"/>
  <c r="K104" i="2"/>
  <c r="B104" i="2" s="1"/>
  <c r="L104" i="2"/>
  <c r="G96" i="2"/>
  <c r="M96" i="2"/>
  <c r="Q96" i="2"/>
  <c r="H96" i="2"/>
  <c r="N96" i="2"/>
  <c r="R96" i="2"/>
  <c r="K96" i="2"/>
  <c r="B96" i="2" s="1"/>
  <c r="L96" i="2"/>
  <c r="F84" i="2"/>
  <c r="L84" i="2"/>
  <c r="P84" i="2"/>
  <c r="E84" i="2"/>
  <c r="M84" i="2"/>
  <c r="R84" i="2"/>
  <c r="G84" i="2"/>
  <c r="N84" i="2"/>
  <c r="O84" i="2"/>
  <c r="Q84" i="2"/>
  <c r="G76" i="2"/>
  <c r="M76" i="2"/>
  <c r="Q76" i="2"/>
  <c r="H76" i="2"/>
  <c r="O76" i="2"/>
  <c r="E76" i="2"/>
  <c r="N76" i="2"/>
  <c r="F76" i="2"/>
  <c r="P76" i="2"/>
  <c r="R76" i="2"/>
  <c r="G68" i="2"/>
  <c r="M68" i="2"/>
  <c r="Q68" i="2"/>
  <c r="H68" i="2"/>
  <c r="O68" i="2"/>
  <c r="K68" i="2"/>
  <c r="B68" i="2" s="1"/>
  <c r="R68" i="2"/>
  <c r="L68" i="2"/>
  <c r="N68" i="2"/>
  <c r="P68" i="2"/>
  <c r="G60" i="2"/>
  <c r="M60" i="2"/>
  <c r="Q60" i="2"/>
  <c r="F60" i="2"/>
  <c r="N60" i="2"/>
  <c r="H60" i="2"/>
  <c r="O60" i="2"/>
  <c r="P60" i="2"/>
  <c r="E60" i="2"/>
  <c r="R60" i="2"/>
  <c r="R496" i="2"/>
  <c r="H496" i="2"/>
  <c r="R492" i="2"/>
  <c r="N492" i="2"/>
  <c r="N488" i="2"/>
  <c r="H488" i="2"/>
  <c r="R484" i="2"/>
  <c r="N480" i="2"/>
  <c r="H480" i="2"/>
  <c r="N476" i="2"/>
  <c r="H476" i="2"/>
  <c r="R472" i="2"/>
  <c r="H472" i="2"/>
  <c r="R468" i="2"/>
  <c r="N464" i="2"/>
  <c r="H464" i="2"/>
  <c r="R460" i="2"/>
  <c r="N456" i="2"/>
  <c r="H456" i="2"/>
  <c r="R452" i="2"/>
  <c r="N448" i="2"/>
  <c r="R444" i="2"/>
  <c r="H444" i="2"/>
  <c r="N440" i="2"/>
  <c r="H440" i="2"/>
  <c r="R436" i="2"/>
  <c r="R432" i="2"/>
  <c r="H432" i="2"/>
  <c r="R428" i="2"/>
  <c r="H428" i="2"/>
  <c r="R424" i="2"/>
  <c r="H424" i="2"/>
  <c r="N420" i="2"/>
  <c r="H420" i="2"/>
  <c r="R416" i="2"/>
  <c r="H416" i="2"/>
  <c r="N412" i="2"/>
  <c r="R408" i="2"/>
  <c r="N404" i="2"/>
  <c r="R396" i="2"/>
  <c r="N392" i="2"/>
  <c r="H392" i="2"/>
  <c r="N388" i="2"/>
  <c r="H388" i="2"/>
  <c r="R384" i="2"/>
  <c r="H384" i="2"/>
  <c r="R380" i="2"/>
  <c r="H380" i="2"/>
  <c r="N376" i="2"/>
  <c r="R372" i="2"/>
  <c r="N368" i="2"/>
  <c r="H368" i="2"/>
  <c r="N364" i="2"/>
  <c r="N360" i="2"/>
  <c r="H360" i="2"/>
  <c r="R356" i="2"/>
  <c r="H356" i="2"/>
  <c r="N352" i="2"/>
  <c r="H352" i="2"/>
  <c r="N348" i="2"/>
  <c r="H348" i="2"/>
  <c r="N344" i="2"/>
  <c r="H340" i="2"/>
  <c r="R332" i="2"/>
  <c r="R328" i="2"/>
  <c r="H328" i="2"/>
  <c r="H324" i="2"/>
  <c r="H320" i="2"/>
  <c r="R316" i="2"/>
  <c r="R312" i="2"/>
  <c r="R308" i="2"/>
  <c r="R300" i="2"/>
  <c r="H296" i="2"/>
  <c r="R288" i="2"/>
  <c r="H288" i="2"/>
  <c r="R280" i="2"/>
  <c r="H280" i="2"/>
  <c r="H276" i="2"/>
  <c r="H272" i="2"/>
  <c r="H268" i="2"/>
  <c r="R264" i="2"/>
  <c r="H264" i="2"/>
  <c r="R256" i="2"/>
  <c r="H256" i="2"/>
  <c r="H252" i="2"/>
  <c r="H248" i="2"/>
  <c r="H244" i="2"/>
  <c r="R240" i="2"/>
  <c r="H236" i="2"/>
  <c r="R208" i="2"/>
  <c r="E175" i="2"/>
  <c r="K175" i="2"/>
  <c r="B175" i="2" s="1"/>
  <c r="O175" i="2"/>
  <c r="F175" i="2"/>
  <c r="L175" i="2"/>
  <c r="P175" i="2"/>
  <c r="G167" i="2"/>
  <c r="M167" i="2"/>
  <c r="Q167" i="2"/>
  <c r="H167" i="2"/>
  <c r="N167" i="2"/>
  <c r="R167" i="2"/>
  <c r="E167" i="2"/>
  <c r="O167" i="2"/>
  <c r="F167" i="2"/>
  <c r="P167" i="2"/>
  <c r="G159" i="2"/>
  <c r="M159" i="2"/>
  <c r="Q159" i="2"/>
  <c r="H159" i="2"/>
  <c r="N159" i="2"/>
  <c r="R159" i="2"/>
  <c r="E159" i="2"/>
  <c r="O159" i="2"/>
  <c r="F159" i="2"/>
  <c r="P159" i="2"/>
  <c r="G151" i="2"/>
  <c r="M151" i="2"/>
  <c r="Q151" i="2"/>
  <c r="H151" i="2"/>
  <c r="N151" i="2"/>
  <c r="R151" i="2"/>
  <c r="E151" i="2"/>
  <c r="O151" i="2"/>
  <c r="F151" i="2"/>
  <c r="P151" i="2"/>
  <c r="G143" i="2"/>
  <c r="M143" i="2"/>
  <c r="Q143" i="2"/>
  <c r="H143" i="2"/>
  <c r="N143" i="2"/>
  <c r="R143" i="2"/>
  <c r="E143" i="2"/>
  <c r="O143" i="2"/>
  <c r="F143" i="2"/>
  <c r="P143" i="2"/>
  <c r="G135" i="2"/>
  <c r="M135" i="2"/>
  <c r="Q135" i="2"/>
  <c r="H135" i="2"/>
  <c r="N135" i="2"/>
  <c r="R135" i="2"/>
  <c r="E135" i="2"/>
  <c r="O135" i="2"/>
  <c r="F135" i="2"/>
  <c r="P135" i="2"/>
  <c r="G127" i="2"/>
  <c r="M127" i="2"/>
  <c r="Q127" i="2"/>
  <c r="H127" i="2"/>
  <c r="N127" i="2"/>
  <c r="R127" i="2"/>
  <c r="E127" i="2"/>
  <c r="O127" i="2"/>
  <c r="F127" i="2"/>
  <c r="P127" i="2"/>
  <c r="G119" i="2"/>
  <c r="M119" i="2"/>
  <c r="Q119" i="2"/>
  <c r="H119" i="2"/>
  <c r="N119" i="2"/>
  <c r="R119" i="2"/>
  <c r="E119" i="2"/>
  <c r="O119" i="2"/>
  <c r="F119" i="2"/>
  <c r="P119" i="2"/>
  <c r="G111" i="2"/>
  <c r="M111" i="2"/>
  <c r="Q111" i="2"/>
  <c r="H111" i="2"/>
  <c r="N111" i="2"/>
  <c r="R111" i="2"/>
  <c r="E111" i="2"/>
  <c r="O111" i="2"/>
  <c r="F111" i="2"/>
  <c r="P111" i="2"/>
  <c r="G99" i="2"/>
  <c r="M99" i="2"/>
  <c r="Q99" i="2"/>
  <c r="H99" i="2"/>
  <c r="N99" i="2"/>
  <c r="R99" i="2"/>
  <c r="E99" i="2"/>
  <c r="O99" i="2"/>
  <c r="F99" i="2"/>
  <c r="P99" i="2"/>
  <c r="G95" i="2"/>
  <c r="M95" i="2"/>
  <c r="Q95" i="2"/>
  <c r="H95" i="2"/>
  <c r="N95" i="2"/>
  <c r="R95" i="2"/>
  <c r="E95" i="2"/>
  <c r="O95" i="2"/>
  <c r="F95" i="2"/>
  <c r="P95" i="2"/>
  <c r="F83" i="2"/>
  <c r="L83" i="2"/>
  <c r="P83" i="2"/>
  <c r="G83" i="2"/>
  <c r="N83" i="2"/>
  <c r="H83" i="2"/>
  <c r="O83" i="2"/>
  <c r="Q83" i="2"/>
  <c r="E83" i="2"/>
  <c r="R83" i="2"/>
  <c r="G75" i="2"/>
  <c r="M75" i="2"/>
  <c r="Q75" i="2"/>
  <c r="K75" i="2"/>
  <c r="B75" i="2" s="1"/>
  <c r="P75" i="2"/>
  <c r="L75" i="2"/>
  <c r="E75" i="2"/>
  <c r="N75" i="2"/>
  <c r="O75" i="2"/>
  <c r="R75" i="2"/>
  <c r="G63" i="2"/>
  <c r="M63" i="2"/>
  <c r="Q63" i="2"/>
  <c r="K63" i="2"/>
  <c r="B63" i="2" s="1"/>
  <c r="P63" i="2"/>
  <c r="E63" i="2"/>
  <c r="N63" i="2"/>
  <c r="F63" i="2"/>
  <c r="O63" i="2"/>
  <c r="R63" i="2"/>
  <c r="M496" i="2"/>
  <c r="G496" i="2"/>
  <c r="M495" i="2"/>
  <c r="G495" i="2"/>
  <c r="Q492" i="2"/>
  <c r="M492" i="2"/>
  <c r="Q491" i="2"/>
  <c r="G491" i="2"/>
  <c r="M488" i="2"/>
  <c r="Q487" i="2"/>
  <c r="G484" i="2"/>
  <c r="M483" i="2"/>
  <c r="M480" i="2"/>
  <c r="Q479" i="2"/>
  <c r="G479" i="2"/>
  <c r="M476" i="2"/>
  <c r="Q475" i="2"/>
  <c r="G475" i="2"/>
  <c r="Q472" i="2"/>
  <c r="G472" i="2"/>
  <c r="M471" i="2"/>
  <c r="M468" i="2"/>
  <c r="Q467" i="2"/>
  <c r="M464" i="2"/>
  <c r="Q463" i="2"/>
  <c r="G463" i="2"/>
  <c r="G460" i="2"/>
  <c r="M459" i="2"/>
  <c r="Q456" i="2"/>
  <c r="G456" i="2"/>
  <c r="M455" i="2"/>
  <c r="Q452" i="2"/>
  <c r="G452" i="2"/>
  <c r="M451" i="2"/>
  <c r="Q448" i="2"/>
  <c r="G448" i="2"/>
  <c r="Q447" i="2"/>
  <c r="Q444" i="2"/>
  <c r="G444" i="2"/>
  <c r="M443" i="2"/>
  <c r="Q439" i="2"/>
  <c r="Q356" i="2"/>
  <c r="G356" i="2"/>
  <c r="M355" i="2"/>
  <c r="Q352" i="2"/>
  <c r="Q351" i="2"/>
  <c r="G351" i="2"/>
  <c r="M348" i="2"/>
  <c r="Q347" i="2"/>
  <c r="Q344" i="2"/>
  <c r="G344" i="2"/>
  <c r="M343" i="2"/>
  <c r="G343" i="2"/>
  <c r="Q340" i="2"/>
  <c r="G336" i="2"/>
  <c r="M335" i="2"/>
  <c r="Q332" i="2"/>
  <c r="G328" i="2"/>
  <c r="G320" i="2"/>
  <c r="G316" i="2"/>
  <c r="M315" i="2"/>
  <c r="Q312" i="2"/>
  <c r="G308" i="2"/>
  <c r="M307" i="2"/>
  <c r="Q304" i="2"/>
  <c r="M303" i="2"/>
  <c r="Q300" i="2"/>
  <c r="G296" i="2"/>
  <c r="M295" i="2"/>
  <c r="G292" i="2"/>
  <c r="M291" i="2"/>
  <c r="Q288" i="2"/>
  <c r="M287" i="2"/>
  <c r="Q284" i="2"/>
  <c r="G284" i="2"/>
  <c r="M283" i="2"/>
  <c r="Q280" i="2"/>
  <c r="M279" i="2"/>
  <c r="Q276" i="2"/>
  <c r="G272" i="2"/>
  <c r="M271" i="2"/>
  <c r="Q268" i="2"/>
  <c r="Q264" i="2"/>
  <c r="M263" i="2"/>
  <c r="Q260" i="2"/>
  <c r="G260" i="2"/>
  <c r="M259" i="2"/>
  <c r="Q256" i="2"/>
  <c r="G256" i="2"/>
  <c r="M255" i="2"/>
  <c r="Q252" i="2"/>
  <c r="G248" i="2"/>
  <c r="M247" i="2"/>
  <c r="Q244" i="2"/>
  <c r="G240" i="2"/>
  <c r="M239" i="2"/>
  <c r="Q236" i="2"/>
  <c r="G232" i="2"/>
  <c r="G224" i="2"/>
  <c r="G220" i="2"/>
  <c r="M219" i="2"/>
  <c r="Q216" i="2"/>
  <c r="Q212" i="2"/>
  <c r="G208" i="2"/>
  <c r="G204" i="2"/>
  <c r="Q200" i="2"/>
  <c r="G196" i="2"/>
  <c r="G192" i="2"/>
  <c r="G188" i="2"/>
  <c r="G184" i="2"/>
  <c r="M183" i="2"/>
  <c r="Q180" i="2"/>
  <c r="G176" i="2"/>
  <c r="M175" i="2"/>
  <c r="Q172" i="2"/>
  <c r="E168" i="2"/>
  <c r="E160" i="2"/>
  <c r="E152" i="2"/>
  <c r="E148" i="2"/>
  <c r="E144" i="2"/>
  <c r="E128" i="2"/>
  <c r="E341" i="2"/>
  <c r="K341" i="2"/>
  <c r="B341" i="2" s="1"/>
  <c r="O341" i="2"/>
  <c r="F341" i="2"/>
  <c r="L341" i="2"/>
  <c r="P341" i="2"/>
  <c r="E337" i="2"/>
  <c r="K337" i="2"/>
  <c r="B337" i="2" s="1"/>
  <c r="O337" i="2"/>
  <c r="F337" i="2"/>
  <c r="L337" i="2"/>
  <c r="P337" i="2"/>
  <c r="E333" i="2"/>
  <c r="K333" i="2"/>
  <c r="B333" i="2" s="1"/>
  <c r="O333" i="2"/>
  <c r="F333" i="2"/>
  <c r="L333" i="2"/>
  <c r="P333" i="2"/>
  <c r="E329" i="2"/>
  <c r="K329" i="2"/>
  <c r="B329" i="2" s="1"/>
  <c r="O329" i="2"/>
  <c r="F329" i="2"/>
  <c r="L329" i="2"/>
  <c r="P329" i="2"/>
  <c r="E325" i="2"/>
  <c r="K325" i="2"/>
  <c r="B325" i="2" s="1"/>
  <c r="O325" i="2"/>
  <c r="F325" i="2"/>
  <c r="L325" i="2"/>
  <c r="P325" i="2"/>
  <c r="E321" i="2"/>
  <c r="K321" i="2"/>
  <c r="B321" i="2" s="1"/>
  <c r="O321" i="2"/>
  <c r="F321" i="2"/>
  <c r="L321" i="2"/>
  <c r="P321" i="2"/>
  <c r="E317" i="2"/>
  <c r="K317" i="2"/>
  <c r="B317" i="2" s="1"/>
  <c r="O317" i="2"/>
  <c r="F317" i="2"/>
  <c r="L317" i="2"/>
  <c r="P317" i="2"/>
  <c r="E313" i="2"/>
  <c r="K313" i="2"/>
  <c r="B313" i="2" s="1"/>
  <c r="O313" i="2"/>
  <c r="F313" i="2"/>
  <c r="L313" i="2"/>
  <c r="P313" i="2"/>
  <c r="E309" i="2"/>
  <c r="K309" i="2"/>
  <c r="B309" i="2" s="1"/>
  <c r="O309" i="2"/>
  <c r="F309" i="2"/>
  <c r="L309" i="2"/>
  <c r="P309" i="2"/>
  <c r="E305" i="2"/>
  <c r="K305" i="2"/>
  <c r="B305" i="2" s="1"/>
  <c r="O305" i="2"/>
  <c r="F305" i="2"/>
  <c r="L305" i="2"/>
  <c r="P305" i="2"/>
  <c r="E301" i="2"/>
  <c r="K301" i="2"/>
  <c r="B301" i="2" s="1"/>
  <c r="O301" i="2"/>
  <c r="F301" i="2"/>
  <c r="L301" i="2"/>
  <c r="P301" i="2"/>
  <c r="E297" i="2"/>
  <c r="K297" i="2"/>
  <c r="B297" i="2" s="1"/>
  <c r="O297" i="2"/>
  <c r="F297" i="2"/>
  <c r="L297" i="2"/>
  <c r="P297" i="2"/>
  <c r="E293" i="2"/>
  <c r="K293" i="2"/>
  <c r="B293" i="2" s="1"/>
  <c r="O293" i="2"/>
  <c r="F293" i="2"/>
  <c r="L293" i="2"/>
  <c r="P293" i="2"/>
  <c r="E289" i="2"/>
  <c r="K289" i="2"/>
  <c r="B289" i="2" s="1"/>
  <c r="O289" i="2"/>
  <c r="F289" i="2"/>
  <c r="L289" i="2"/>
  <c r="P289" i="2"/>
  <c r="E285" i="2"/>
  <c r="K285" i="2"/>
  <c r="B285" i="2" s="1"/>
  <c r="O285" i="2"/>
  <c r="F285" i="2"/>
  <c r="L285" i="2"/>
  <c r="P285" i="2"/>
  <c r="E281" i="2"/>
  <c r="K281" i="2"/>
  <c r="B281" i="2" s="1"/>
  <c r="O281" i="2"/>
  <c r="F281" i="2"/>
  <c r="L281" i="2"/>
  <c r="P281" i="2"/>
  <c r="E277" i="2"/>
  <c r="K277" i="2"/>
  <c r="B277" i="2" s="1"/>
  <c r="O277" i="2"/>
  <c r="F277" i="2"/>
  <c r="L277" i="2"/>
  <c r="P277" i="2"/>
  <c r="E273" i="2"/>
  <c r="K273" i="2"/>
  <c r="B273" i="2" s="1"/>
  <c r="O273" i="2"/>
  <c r="F273" i="2"/>
  <c r="L273" i="2"/>
  <c r="P273" i="2"/>
  <c r="E269" i="2"/>
  <c r="K269" i="2"/>
  <c r="B269" i="2" s="1"/>
  <c r="O269" i="2"/>
  <c r="F269" i="2"/>
  <c r="L269" i="2"/>
  <c r="P269" i="2"/>
  <c r="E265" i="2"/>
  <c r="K265" i="2"/>
  <c r="B265" i="2" s="1"/>
  <c r="O265" i="2"/>
  <c r="F265" i="2"/>
  <c r="L265" i="2"/>
  <c r="P265" i="2"/>
  <c r="E261" i="2"/>
  <c r="K261" i="2"/>
  <c r="B261" i="2" s="1"/>
  <c r="O261" i="2"/>
  <c r="F261" i="2"/>
  <c r="L261" i="2"/>
  <c r="P261" i="2"/>
  <c r="E257" i="2"/>
  <c r="K257" i="2"/>
  <c r="B257" i="2" s="1"/>
  <c r="O257" i="2"/>
  <c r="F257" i="2"/>
  <c r="L257" i="2"/>
  <c r="P257" i="2"/>
  <c r="E253" i="2"/>
  <c r="K253" i="2"/>
  <c r="B253" i="2" s="1"/>
  <c r="O253" i="2"/>
  <c r="F253" i="2"/>
  <c r="L253" i="2"/>
  <c r="P253" i="2"/>
  <c r="E249" i="2"/>
  <c r="K249" i="2"/>
  <c r="B249" i="2" s="1"/>
  <c r="O249" i="2"/>
  <c r="F249" i="2"/>
  <c r="L249" i="2"/>
  <c r="P249" i="2"/>
  <c r="E245" i="2"/>
  <c r="K245" i="2"/>
  <c r="B245" i="2" s="1"/>
  <c r="O245" i="2"/>
  <c r="F245" i="2"/>
  <c r="L245" i="2"/>
  <c r="P245" i="2"/>
  <c r="E241" i="2"/>
  <c r="K241" i="2"/>
  <c r="B241" i="2" s="1"/>
  <c r="O241" i="2"/>
  <c r="F241" i="2"/>
  <c r="L241" i="2"/>
  <c r="P241" i="2"/>
  <c r="E237" i="2"/>
  <c r="K237" i="2"/>
  <c r="B237" i="2" s="1"/>
  <c r="O237" i="2"/>
  <c r="F237" i="2"/>
  <c r="L237" i="2"/>
  <c r="P237" i="2"/>
  <c r="E233" i="2"/>
  <c r="K233" i="2"/>
  <c r="B233" i="2" s="1"/>
  <c r="O233" i="2"/>
  <c r="F233" i="2"/>
  <c r="L233" i="2"/>
  <c r="P233" i="2"/>
  <c r="E229" i="2"/>
  <c r="K229" i="2"/>
  <c r="B229" i="2" s="1"/>
  <c r="O229" i="2"/>
  <c r="F229" i="2"/>
  <c r="L229" i="2"/>
  <c r="P229" i="2"/>
  <c r="E225" i="2"/>
  <c r="K225" i="2"/>
  <c r="B225" i="2" s="1"/>
  <c r="O225" i="2"/>
  <c r="F225" i="2"/>
  <c r="L225" i="2"/>
  <c r="P225" i="2"/>
  <c r="E221" i="2"/>
  <c r="K221" i="2"/>
  <c r="B221" i="2" s="1"/>
  <c r="O221" i="2"/>
  <c r="F221" i="2"/>
  <c r="L221" i="2"/>
  <c r="P221" i="2"/>
  <c r="E217" i="2"/>
  <c r="K217" i="2"/>
  <c r="B217" i="2" s="1"/>
  <c r="O217" i="2"/>
  <c r="F217" i="2"/>
  <c r="L217" i="2"/>
  <c r="P217" i="2"/>
  <c r="E213" i="2"/>
  <c r="K213" i="2"/>
  <c r="B213" i="2" s="1"/>
  <c r="O213" i="2"/>
  <c r="F213" i="2"/>
  <c r="L213" i="2"/>
  <c r="P213" i="2"/>
  <c r="E209" i="2"/>
  <c r="K209" i="2"/>
  <c r="B209" i="2" s="1"/>
  <c r="O209" i="2"/>
  <c r="F209" i="2"/>
  <c r="L209" i="2"/>
  <c r="P209" i="2"/>
  <c r="E205" i="2"/>
  <c r="K205" i="2"/>
  <c r="B205" i="2" s="1"/>
  <c r="O205" i="2"/>
  <c r="F205" i="2"/>
  <c r="L205" i="2"/>
  <c r="P205" i="2"/>
  <c r="E201" i="2"/>
  <c r="K201" i="2"/>
  <c r="B201" i="2" s="1"/>
  <c r="O201" i="2"/>
  <c r="F201" i="2"/>
  <c r="L201" i="2"/>
  <c r="P201" i="2"/>
  <c r="E197" i="2"/>
  <c r="K197" i="2"/>
  <c r="B197" i="2" s="1"/>
  <c r="O197" i="2"/>
  <c r="F197" i="2"/>
  <c r="L197" i="2"/>
  <c r="P197" i="2"/>
  <c r="E193" i="2"/>
  <c r="K193" i="2"/>
  <c r="B193" i="2" s="1"/>
  <c r="O193" i="2"/>
  <c r="F193" i="2"/>
  <c r="L193" i="2"/>
  <c r="P193" i="2"/>
  <c r="E189" i="2"/>
  <c r="K189" i="2"/>
  <c r="B189" i="2" s="1"/>
  <c r="O189" i="2"/>
  <c r="F189" i="2"/>
  <c r="L189" i="2"/>
  <c r="P189" i="2"/>
  <c r="E185" i="2"/>
  <c r="K185" i="2"/>
  <c r="B185" i="2" s="1"/>
  <c r="O185" i="2"/>
  <c r="F185" i="2"/>
  <c r="L185" i="2"/>
  <c r="P185" i="2"/>
  <c r="E181" i="2"/>
  <c r="K181" i="2"/>
  <c r="B181" i="2" s="1"/>
  <c r="O181" i="2"/>
  <c r="F181" i="2"/>
  <c r="L181" i="2"/>
  <c r="P181" i="2"/>
  <c r="E177" i="2"/>
  <c r="K177" i="2"/>
  <c r="B177" i="2" s="1"/>
  <c r="O177" i="2"/>
  <c r="F177" i="2"/>
  <c r="L177" i="2"/>
  <c r="P177" i="2"/>
  <c r="E173" i="2"/>
  <c r="K173" i="2"/>
  <c r="B173" i="2" s="1"/>
  <c r="O173" i="2"/>
  <c r="F173" i="2"/>
  <c r="L173" i="2"/>
  <c r="P173" i="2"/>
  <c r="G169" i="2"/>
  <c r="M169" i="2"/>
  <c r="Q169" i="2"/>
  <c r="H169" i="2"/>
  <c r="N169" i="2"/>
  <c r="R169" i="2"/>
  <c r="E169" i="2"/>
  <c r="O169" i="2"/>
  <c r="F169" i="2"/>
  <c r="P169" i="2"/>
  <c r="G165" i="2"/>
  <c r="M165" i="2"/>
  <c r="Q165" i="2"/>
  <c r="H165" i="2"/>
  <c r="N165" i="2"/>
  <c r="R165" i="2"/>
  <c r="E165" i="2"/>
  <c r="O165" i="2"/>
  <c r="F165" i="2"/>
  <c r="P165" i="2"/>
  <c r="G161" i="2"/>
  <c r="M161" i="2"/>
  <c r="Q161" i="2"/>
  <c r="H161" i="2"/>
  <c r="N161" i="2"/>
  <c r="R161" i="2"/>
  <c r="E161" i="2"/>
  <c r="O161" i="2"/>
  <c r="F161" i="2"/>
  <c r="P161" i="2"/>
  <c r="G157" i="2"/>
  <c r="M157" i="2"/>
  <c r="Q157" i="2"/>
  <c r="H157" i="2"/>
  <c r="N157" i="2"/>
  <c r="R157" i="2"/>
  <c r="E157" i="2"/>
  <c r="O157" i="2"/>
  <c r="F157" i="2"/>
  <c r="P157" i="2"/>
  <c r="G153" i="2"/>
  <c r="M153" i="2"/>
  <c r="Q153" i="2"/>
  <c r="H153" i="2"/>
  <c r="N153" i="2"/>
  <c r="R153" i="2"/>
  <c r="E153" i="2"/>
  <c r="O153" i="2"/>
  <c r="F153" i="2"/>
  <c r="P153" i="2"/>
  <c r="G149" i="2"/>
  <c r="M149" i="2"/>
  <c r="Q149" i="2"/>
  <c r="H149" i="2"/>
  <c r="N149" i="2"/>
  <c r="R149" i="2"/>
  <c r="E149" i="2"/>
  <c r="O149" i="2"/>
  <c r="F149" i="2"/>
  <c r="P149" i="2"/>
  <c r="G145" i="2"/>
  <c r="M145" i="2"/>
  <c r="Q145" i="2"/>
  <c r="H145" i="2"/>
  <c r="N145" i="2"/>
  <c r="R145" i="2"/>
  <c r="E145" i="2"/>
  <c r="O145" i="2"/>
  <c r="F145" i="2"/>
  <c r="P145" i="2"/>
  <c r="G141" i="2"/>
  <c r="M141" i="2"/>
  <c r="Q141" i="2"/>
  <c r="H141" i="2"/>
  <c r="N141" i="2"/>
  <c r="R141" i="2"/>
  <c r="E141" i="2"/>
  <c r="O141" i="2"/>
  <c r="F141" i="2"/>
  <c r="P141" i="2"/>
  <c r="G137" i="2"/>
  <c r="M137" i="2"/>
  <c r="Q137" i="2"/>
  <c r="H137" i="2"/>
  <c r="N137" i="2"/>
  <c r="R137" i="2"/>
  <c r="E137" i="2"/>
  <c r="O137" i="2"/>
  <c r="F137" i="2"/>
  <c r="P137" i="2"/>
  <c r="G133" i="2"/>
  <c r="M133" i="2"/>
  <c r="Q133" i="2"/>
  <c r="H133" i="2"/>
  <c r="N133" i="2"/>
  <c r="R133" i="2"/>
  <c r="E133" i="2"/>
  <c r="O133" i="2"/>
  <c r="F133" i="2"/>
  <c r="P133" i="2"/>
  <c r="G129" i="2"/>
  <c r="M129" i="2"/>
  <c r="Q129" i="2"/>
  <c r="H129" i="2"/>
  <c r="N129" i="2"/>
  <c r="R129" i="2"/>
  <c r="E129" i="2"/>
  <c r="O129" i="2"/>
  <c r="F129" i="2"/>
  <c r="P129" i="2"/>
  <c r="G125" i="2"/>
  <c r="M125" i="2"/>
  <c r="Q125" i="2"/>
  <c r="H125" i="2"/>
  <c r="N125" i="2"/>
  <c r="R125" i="2"/>
  <c r="E125" i="2"/>
  <c r="O125" i="2"/>
  <c r="F125" i="2"/>
  <c r="P125" i="2"/>
  <c r="G121" i="2"/>
  <c r="M121" i="2"/>
  <c r="Q121" i="2"/>
  <c r="H121" i="2"/>
  <c r="N121" i="2"/>
  <c r="R121" i="2"/>
  <c r="E121" i="2"/>
  <c r="O121" i="2"/>
  <c r="F121" i="2"/>
  <c r="P121" i="2"/>
  <c r="G117" i="2"/>
  <c r="M117" i="2"/>
  <c r="Q117" i="2"/>
  <c r="H117" i="2"/>
  <c r="N117" i="2"/>
  <c r="R117" i="2"/>
  <c r="E117" i="2"/>
  <c r="O117" i="2"/>
  <c r="F117" i="2"/>
  <c r="P117" i="2"/>
  <c r="G113" i="2"/>
  <c r="M113" i="2"/>
  <c r="Q113" i="2"/>
  <c r="H113" i="2"/>
  <c r="N113" i="2"/>
  <c r="R113" i="2"/>
  <c r="E113" i="2"/>
  <c r="O113" i="2"/>
  <c r="F113" i="2"/>
  <c r="P113" i="2"/>
  <c r="G109" i="2"/>
  <c r="M109" i="2"/>
  <c r="Q109" i="2"/>
  <c r="H109" i="2"/>
  <c r="N109" i="2"/>
  <c r="R109" i="2"/>
  <c r="E109" i="2"/>
  <c r="O109" i="2"/>
  <c r="F109" i="2"/>
  <c r="P109" i="2"/>
  <c r="G105" i="2"/>
  <c r="M105" i="2"/>
  <c r="Q105" i="2"/>
  <c r="H105" i="2"/>
  <c r="N105" i="2"/>
  <c r="R105" i="2"/>
  <c r="E105" i="2"/>
  <c r="O105" i="2"/>
  <c r="F105" i="2"/>
  <c r="P105" i="2"/>
  <c r="G101" i="2"/>
  <c r="M101" i="2"/>
  <c r="Q101" i="2"/>
  <c r="H101" i="2"/>
  <c r="N101" i="2"/>
  <c r="R101" i="2"/>
  <c r="E101" i="2"/>
  <c r="O101" i="2"/>
  <c r="F101" i="2"/>
  <c r="P101" i="2"/>
  <c r="G97" i="2"/>
  <c r="M97" i="2"/>
  <c r="Q97" i="2"/>
  <c r="H97" i="2"/>
  <c r="N97" i="2"/>
  <c r="R97" i="2"/>
  <c r="E97" i="2"/>
  <c r="O97" i="2"/>
  <c r="F97" i="2"/>
  <c r="P97" i="2"/>
  <c r="F93" i="2"/>
  <c r="L93" i="2"/>
  <c r="P93" i="2"/>
  <c r="K93" i="2"/>
  <c r="B93" i="2" s="1"/>
  <c r="Q93" i="2"/>
  <c r="E93" i="2"/>
  <c r="M93" i="2"/>
  <c r="R93" i="2"/>
  <c r="N93" i="2"/>
  <c r="O93" i="2"/>
  <c r="F89" i="2"/>
  <c r="L89" i="2"/>
  <c r="P89" i="2"/>
  <c r="K89" i="2"/>
  <c r="B89" i="2" s="1"/>
  <c r="Q89" i="2"/>
  <c r="E89" i="2"/>
  <c r="M89" i="2"/>
  <c r="R89" i="2"/>
  <c r="G89" i="2"/>
  <c r="H89" i="2"/>
  <c r="F85" i="2"/>
  <c r="L85" i="2"/>
  <c r="P85" i="2"/>
  <c r="K85" i="2"/>
  <c r="B85" i="2" s="1"/>
  <c r="Q85" i="2"/>
  <c r="E85" i="2"/>
  <c r="M85" i="2"/>
  <c r="R85" i="2"/>
  <c r="N85" i="2"/>
  <c r="O85" i="2"/>
  <c r="F81" i="2"/>
  <c r="L81" i="2"/>
  <c r="P81" i="2"/>
  <c r="K81" i="2"/>
  <c r="B81" i="2" s="1"/>
  <c r="Q81" i="2"/>
  <c r="E81" i="2"/>
  <c r="M81" i="2"/>
  <c r="R81" i="2"/>
  <c r="G81" i="2"/>
  <c r="H81" i="2"/>
  <c r="G77" i="2"/>
  <c r="M77" i="2"/>
  <c r="Q77" i="2"/>
  <c r="F77" i="2"/>
  <c r="N77" i="2"/>
  <c r="H77" i="2"/>
  <c r="P77" i="2"/>
  <c r="K77" i="2"/>
  <c r="B77" i="2" s="1"/>
  <c r="R77" i="2"/>
  <c r="E77" i="2"/>
  <c r="G73" i="2"/>
  <c r="M73" i="2"/>
  <c r="Q73" i="2"/>
  <c r="F73" i="2"/>
  <c r="N73" i="2"/>
  <c r="E73" i="2"/>
  <c r="O73" i="2"/>
  <c r="H73" i="2"/>
  <c r="P73" i="2"/>
  <c r="K73" i="2"/>
  <c r="B73" i="2" s="1"/>
  <c r="L73" i="2"/>
  <c r="G69" i="2"/>
  <c r="M69" i="2"/>
  <c r="Q69" i="2"/>
  <c r="F69" i="2"/>
  <c r="N69" i="2"/>
  <c r="L69" i="2"/>
  <c r="E69" i="2"/>
  <c r="O69" i="2"/>
  <c r="P69" i="2"/>
  <c r="R69" i="2"/>
  <c r="G65" i="2"/>
  <c r="M65" i="2"/>
  <c r="Q65" i="2"/>
  <c r="F65" i="2"/>
  <c r="N65" i="2"/>
  <c r="K65" i="2"/>
  <c r="B65" i="2" s="1"/>
  <c r="R65" i="2"/>
  <c r="L65" i="2"/>
  <c r="E65" i="2"/>
  <c r="H65" i="2"/>
  <c r="G61" i="2"/>
  <c r="M61" i="2"/>
  <c r="Q61" i="2"/>
  <c r="E61" i="2"/>
  <c r="L61" i="2"/>
  <c r="R61" i="2"/>
  <c r="F61" i="2"/>
  <c r="N61" i="2"/>
  <c r="O61" i="2"/>
  <c r="P61" i="2"/>
  <c r="H61" i="2"/>
  <c r="K61" i="2"/>
  <c r="B61" i="2" s="1"/>
  <c r="O497" i="2"/>
  <c r="K497" i="2"/>
  <c r="B497" i="2" s="1"/>
  <c r="O496" i="2"/>
  <c r="K496" i="2"/>
  <c r="B496" i="2" s="1"/>
  <c r="O495" i="2"/>
  <c r="K495" i="2"/>
  <c r="B495" i="2" s="1"/>
  <c r="O494" i="2"/>
  <c r="K494" i="2"/>
  <c r="B494" i="2" s="1"/>
  <c r="O493" i="2"/>
  <c r="K493" i="2"/>
  <c r="B493" i="2" s="1"/>
  <c r="O492" i="2"/>
  <c r="K492" i="2"/>
  <c r="B492" i="2" s="1"/>
  <c r="O491" i="2"/>
  <c r="K491" i="2"/>
  <c r="B491" i="2" s="1"/>
  <c r="O490" i="2"/>
  <c r="K490" i="2"/>
  <c r="B490" i="2" s="1"/>
  <c r="O489" i="2"/>
  <c r="K489" i="2"/>
  <c r="B489" i="2" s="1"/>
  <c r="O488" i="2"/>
  <c r="K488" i="2"/>
  <c r="B488" i="2" s="1"/>
  <c r="O487" i="2"/>
  <c r="K487" i="2"/>
  <c r="B487" i="2" s="1"/>
  <c r="O486" i="2"/>
  <c r="K486" i="2"/>
  <c r="B486" i="2" s="1"/>
  <c r="O485" i="2"/>
  <c r="K485" i="2"/>
  <c r="B485" i="2" s="1"/>
  <c r="O484" i="2"/>
  <c r="K484" i="2"/>
  <c r="B484" i="2" s="1"/>
  <c r="O483" i="2"/>
  <c r="K483" i="2"/>
  <c r="B483" i="2" s="1"/>
  <c r="O482" i="2"/>
  <c r="K482" i="2"/>
  <c r="B482" i="2" s="1"/>
  <c r="O481" i="2"/>
  <c r="K481" i="2"/>
  <c r="B481" i="2" s="1"/>
  <c r="O480" i="2"/>
  <c r="K480" i="2"/>
  <c r="B480" i="2" s="1"/>
  <c r="O479" i="2"/>
  <c r="K479" i="2"/>
  <c r="B479" i="2" s="1"/>
  <c r="O478" i="2"/>
  <c r="K478" i="2"/>
  <c r="B478" i="2" s="1"/>
  <c r="O477" i="2"/>
  <c r="K477" i="2"/>
  <c r="B477" i="2" s="1"/>
  <c r="O476" i="2"/>
  <c r="K476" i="2"/>
  <c r="B476" i="2" s="1"/>
  <c r="O475" i="2"/>
  <c r="K475" i="2"/>
  <c r="B475" i="2" s="1"/>
  <c r="O474" i="2"/>
  <c r="K474" i="2"/>
  <c r="B474" i="2" s="1"/>
  <c r="O473" i="2"/>
  <c r="K473" i="2"/>
  <c r="B473" i="2" s="1"/>
  <c r="O472" i="2"/>
  <c r="K472" i="2"/>
  <c r="B472" i="2" s="1"/>
  <c r="O471" i="2"/>
  <c r="K471" i="2"/>
  <c r="B471" i="2" s="1"/>
  <c r="O470" i="2"/>
  <c r="K470" i="2"/>
  <c r="B470" i="2" s="1"/>
  <c r="O469" i="2"/>
  <c r="K469" i="2"/>
  <c r="B469" i="2" s="1"/>
  <c r="O468" i="2"/>
  <c r="K468" i="2"/>
  <c r="B468" i="2" s="1"/>
  <c r="O467" i="2"/>
  <c r="K467" i="2"/>
  <c r="B467" i="2" s="1"/>
  <c r="O466" i="2"/>
  <c r="K466" i="2"/>
  <c r="B466" i="2" s="1"/>
  <c r="O465" i="2"/>
  <c r="K465" i="2"/>
  <c r="B465" i="2" s="1"/>
  <c r="O464" i="2"/>
  <c r="K464" i="2"/>
  <c r="B464" i="2" s="1"/>
  <c r="O463" i="2"/>
  <c r="K463" i="2"/>
  <c r="B463" i="2" s="1"/>
  <c r="O462" i="2"/>
  <c r="K462" i="2"/>
  <c r="B462" i="2" s="1"/>
  <c r="O461" i="2"/>
  <c r="K461" i="2"/>
  <c r="B461" i="2" s="1"/>
  <c r="O460" i="2"/>
  <c r="K460" i="2"/>
  <c r="B460" i="2" s="1"/>
  <c r="O459" i="2"/>
  <c r="K459" i="2"/>
  <c r="B459" i="2" s="1"/>
  <c r="O458" i="2"/>
  <c r="K458" i="2"/>
  <c r="B458" i="2" s="1"/>
  <c r="O457" i="2"/>
  <c r="K457" i="2"/>
  <c r="B457" i="2" s="1"/>
  <c r="O456" i="2"/>
  <c r="K456" i="2"/>
  <c r="B456" i="2" s="1"/>
  <c r="O455" i="2"/>
  <c r="K455" i="2"/>
  <c r="B455" i="2" s="1"/>
  <c r="O454" i="2"/>
  <c r="K454" i="2"/>
  <c r="B454" i="2" s="1"/>
  <c r="O453" i="2"/>
  <c r="K453" i="2"/>
  <c r="B453" i="2" s="1"/>
  <c r="O452" i="2"/>
  <c r="K452" i="2"/>
  <c r="B452" i="2" s="1"/>
  <c r="O451" i="2"/>
  <c r="K451" i="2"/>
  <c r="B451" i="2" s="1"/>
  <c r="O450" i="2"/>
  <c r="K450" i="2"/>
  <c r="B450" i="2" s="1"/>
  <c r="O449" i="2"/>
  <c r="K449" i="2"/>
  <c r="B449" i="2" s="1"/>
  <c r="O448" i="2"/>
  <c r="K448" i="2"/>
  <c r="B448" i="2" s="1"/>
  <c r="O447" i="2"/>
  <c r="K447" i="2"/>
  <c r="B447" i="2" s="1"/>
  <c r="O446" i="2"/>
  <c r="K446" i="2"/>
  <c r="B446" i="2" s="1"/>
  <c r="O445" i="2"/>
  <c r="K445" i="2"/>
  <c r="B445" i="2" s="1"/>
  <c r="O444" i="2"/>
  <c r="K444" i="2"/>
  <c r="B444" i="2" s="1"/>
  <c r="O443" i="2"/>
  <c r="K443" i="2"/>
  <c r="B443" i="2" s="1"/>
  <c r="O442" i="2"/>
  <c r="K442" i="2"/>
  <c r="B442" i="2" s="1"/>
  <c r="O441" i="2"/>
  <c r="K441" i="2"/>
  <c r="B441" i="2" s="1"/>
  <c r="O440" i="2"/>
  <c r="K440" i="2"/>
  <c r="B440" i="2" s="1"/>
  <c r="O439" i="2"/>
  <c r="K439" i="2"/>
  <c r="B439" i="2" s="1"/>
  <c r="O438" i="2"/>
  <c r="K438" i="2"/>
  <c r="B438" i="2" s="1"/>
  <c r="O437" i="2"/>
  <c r="K437" i="2"/>
  <c r="B437" i="2" s="1"/>
  <c r="O436" i="2"/>
  <c r="K436" i="2"/>
  <c r="B436" i="2" s="1"/>
  <c r="O435" i="2"/>
  <c r="K435" i="2"/>
  <c r="B435" i="2" s="1"/>
  <c r="O434" i="2"/>
  <c r="K434" i="2"/>
  <c r="B434" i="2" s="1"/>
  <c r="O433" i="2"/>
  <c r="K433" i="2"/>
  <c r="B433" i="2" s="1"/>
  <c r="O432" i="2"/>
  <c r="K432" i="2"/>
  <c r="B432" i="2" s="1"/>
  <c r="O431" i="2"/>
  <c r="K431" i="2"/>
  <c r="B431" i="2" s="1"/>
  <c r="O430" i="2"/>
  <c r="K430" i="2"/>
  <c r="B430" i="2" s="1"/>
  <c r="O429" i="2"/>
  <c r="K429" i="2"/>
  <c r="B429" i="2" s="1"/>
  <c r="O428" i="2"/>
  <c r="K428" i="2"/>
  <c r="B428" i="2" s="1"/>
  <c r="O427" i="2"/>
  <c r="K427" i="2"/>
  <c r="B427" i="2" s="1"/>
  <c r="O426" i="2"/>
  <c r="K426" i="2"/>
  <c r="B426" i="2" s="1"/>
  <c r="O425" i="2"/>
  <c r="K425" i="2"/>
  <c r="B425" i="2" s="1"/>
  <c r="O424" i="2"/>
  <c r="K424" i="2"/>
  <c r="B424" i="2" s="1"/>
  <c r="O423" i="2"/>
  <c r="K423" i="2"/>
  <c r="B423" i="2" s="1"/>
  <c r="O422" i="2"/>
  <c r="K422" i="2"/>
  <c r="B422" i="2" s="1"/>
  <c r="O421" i="2"/>
  <c r="K421" i="2"/>
  <c r="B421" i="2" s="1"/>
  <c r="O420" i="2"/>
  <c r="K420" i="2"/>
  <c r="B420" i="2" s="1"/>
  <c r="O419" i="2"/>
  <c r="K419" i="2"/>
  <c r="B419" i="2" s="1"/>
  <c r="O418" i="2"/>
  <c r="K418" i="2"/>
  <c r="B418" i="2" s="1"/>
  <c r="O417" i="2"/>
  <c r="K417" i="2"/>
  <c r="B417" i="2" s="1"/>
  <c r="O416" i="2"/>
  <c r="K416" i="2"/>
  <c r="B416" i="2" s="1"/>
  <c r="O415" i="2"/>
  <c r="K415" i="2"/>
  <c r="B415" i="2" s="1"/>
  <c r="O414" i="2"/>
  <c r="K414" i="2"/>
  <c r="B414" i="2" s="1"/>
  <c r="O413" i="2"/>
  <c r="K413" i="2"/>
  <c r="B413" i="2" s="1"/>
  <c r="O412" i="2"/>
  <c r="K412" i="2"/>
  <c r="B412" i="2" s="1"/>
  <c r="O411" i="2"/>
  <c r="K411" i="2"/>
  <c r="B411" i="2" s="1"/>
  <c r="O410" i="2"/>
  <c r="K410" i="2"/>
  <c r="B410" i="2" s="1"/>
  <c r="O409" i="2"/>
  <c r="K409" i="2"/>
  <c r="B409" i="2" s="1"/>
  <c r="O408" i="2"/>
  <c r="K408" i="2"/>
  <c r="B408" i="2" s="1"/>
  <c r="O407" i="2"/>
  <c r="K407" i="2"/>
  <c r="B407" i="2" s="1"/>
  <c r="O406" i="2"/>
  <c r="K406" i="2"/>
  <c r="B406" i="2" s="1"/>
  <c r="O405" i="2"/>
  <c r="K405" i="2"/>
  <c r="B405" i="2" s="1"/>
  <c r="O404" i="2"/>
  <c r="K404" i="2"/>
  <c r="B404" i="2" s="1"/>
  <c r="O403" i="2"/>
  <c r="K403" i="2"/>
  <c r="B403" i="2" s="1"/>
  <c r="O402" i="2"/>
  <c r="K402" i="2"/>
  <c r="B402" i="2" s="1"/>
  <c r="O401" i="2"/>
  <c r="K401" i="2"/>
  <c r="B401" i="2" s="1"/>
  <c r="O400" i="2"/>
  <c r="K400" i="2"/>
  <c r="B400" i="2" s="1"/>
  <c r="O399" i="2"/>
  <c r="K399" i="2"/>
  <c r="B399" i="2" s="1"/>
  <c r="O398" i="2"/>
  <c r="K398" i="2"/>
  <c r="B398" i="2" s="1"/>
  <c r="O397" i="2"/>
  <c r="K397" i="2"/>
  <c r="B397" i="2" s="1"/>
  <c r="O396" i="2"/>
  <c r="K396" i="2"/>
  <c r="B396" i="2" s="1"/>
  <c r="O395" i="2"/>
  <c r="K395" i="2"/>
  <c r="B395" i="2" s="1"/>
  <c r="O394" i="2"/>
  <c r="K394" i="2"/>
  <c r="B394" i="2" s="1"/>
  <c r="O393" i="2"/>
  <c r="K393" i="2"/>
  <c r="B393" i="2" s="1"/>
  <c r="O392" i="2"/>
  <c r="K392" i="2"/>
  <c r="B392" i="2" s="1"/>
  <c r="O391" i="2"/>
  <c r="K391" i="2"/>
  <c r="B391" i="2" s="1"/>
  <c r="O390" i="2"/>
  <c r="K390" i="2"/>
  <c r="B390" i="2" s="1"/>
  <c r="O389" i="2"/>
  <c r="K389" i="2"/>
  <c r="B389" i="2" s="1"/>
  <c r="O388" i="2"/>
  <c r="K388" i="2"/>
  <c r="B388" i="2" s="1"/>
  <c r="O387" i="2"/>
  <c r="K387" i="2"/>
  <c r="B387" i="2" s="1"/>
  <c r="O386" i="2"/>
  <c r="K386" i="2"/>
  <c r="B386" i="2" s="1"/>
  <c r="O385" i="2"/>
  <c r="K385" i="2"/>
  <c r="B385" i="2" s="1"/>
  <c r="O384" i="2"/>
  <c r="K384" i="2"/>
  <c r="B384" i="2" s="1"/>
  <c r="O383" i="2"/>
  <c r="K383" i="2"/>
  <c r="B383" i="2" s="1"/>
  <c r="O382" i="2"/>
  <c r="K382" i="2"/>
  <c r="B382" i="2" s="1"/>
  <c r="O381" i="2"/>
  <c r="K381" i="2"/>
  <c r="B381" i="2" s="1"/>
  <c r="O380" i="2"/>
  <c r="K380" i="2"/>
  <c r="B380" i="2" s="1"/>
  <c r="O379" i="2"/>
  <c r="K379" i="2"/>
  <c r="B379" i="2" s="1"/>
  <c r="O378" i="2"/>
  <c r="K378" i="2"/>
  <c r="B378" i="2" s="1"/>
  <c r="O377" i="2"/>
  <c r="K377" i="2"/>
  <c r="B377" i="2" s="1"/>
  <c r="O376" i="2"/>
  <c r="K376" i="2"/>
  <c r="B376" i="2" s="1"/>
  <c r="O375" i="2"/>
  <c r="K375" i="2"/>
  <c r="B375" i="2" s="1"/>
  <c r="O374" i="2"/>
  <c r="K374" i="2"/>
  <c r="B374" i="2" s="1"/>
  <c r="O373" i="2"/>
  <c r="K373" i="2"/>
  <c r="B373" i="2" s="1"/>
  <c r="O372" i="2"/>
  <c r="K372" i="2"/>
  <c r="B372" i="2" s="1"/>
  <c r="O371" i="2"/>
  <c r="K371" i="2"/>
  <c r="B371" i="2" s="1"/>
  <c r="O370" i="2"/>
  <c r="K370" i="2"/>
  <c r="B370" i="2" s="1"/>
  <c r="O369" i="2"/>
  <c r="K369" i="2"/>
  <c r="B369" i="2" s="1"/>
  <c r="O368" i="2"/>
  <c r="K368" i="2"/>
  <c r="B368" i="2" s="1"/>
  <c r="O367" i="2"/>
  <c r="K367" i="2"/>
  <c r="B367" i="2" s="1"/>
  <c r="O366" i="2"/>
  <c r="K366" i="2"/>
  <c r="B366" i="2" s="1"/>
  <c r="O365" i="2"/>
  <c r="K365" i="2"/>
  <c r="B365" i="2" s="1"/>
  <c r="O364" i="2"/>
  <c r="K364" i="2"/>
  <c r="B364" i="2" s="1"/>
  <c r="O363" i="2"/>
  <c r="K363" i="2"/>
  <c r="B363" i="2" s="1"/>
  <c r="O362" i="2"/>
  <c r="K362" i="2"/>
  <c r="B362" i="2" s="1"/>
  <c r="O361" i="2"/>
  <c r="K361" i="2"/>
  <c r="B361" i="2" s="1"/>
  <c r="O360" i="2"/>
  <c r="K360" i="2"/>
  <c r="B360" i="2" s="1"/>
  <c r="O359" i="2"/>
  <c r="K359" i="2"/>
  <c r="B359" i="2" s="1"/>
  <c r="O358" i="2"/>
  <c r="K358" i="2"/>
  <c r="B358" i="2" s="1"/>
  <c r="O357" i="2"/>
  <c r="K357" i="2"/>
  <c r="B357" i="2" s="1"/>
  <c r="O356" i="2"/>
  <c r="K356" i="2"/>
  <c r="B356" i="2" s="1"/>
  <c r="O355" i="2"/>
  <c r="K355" i="2"/>
  <c r="B355" i="2" s="1"/>
  <c r="O354" i="2"/>
  <c r="K354" i="2"/>
  <c r="B354" i="2" s="1"/>
  <c r="O353" i="2"/>
  <c r="K353" i="2"/>
  <c r="B353" i="2" s="1"/>
  <c r="O352" i="2"/>
  <c r="K352" i="2"/>
  <c r="B352" i="2" s="1"/>
  <c r="O351" i="2"/>
  <c r="K351" i="2"/>
  <c r="B351" i="2" s="1"/>
  <c r="O350" i="2"/>
  <c r="K350" i="2"/>
  <c r="B350" i="2" s="1"/>
  <c r="O349" i="2"/>
  <c r="K349" i="2"/>
  <c r="B349" i="2" s="1"/>
  <c r="O348" i="2"/>
  <c r="K348" i="2"/>
  <c r="B348" i="2" s="1"/>
  <c r="O347" i="2"/>
  <c r="K347" i="2"/>
  <c r="B347" i="2" s="1"/>
  <c r="O346" i="2"/>
  <c r="K346" i="2"/>
  <c r="B346" i="2" s="1"/>
  <c r="O345" i="2"/>
  <c r="K345" i="2"/>
  <c r="B345" i="2" s="1"/>
  <c r="O344" i="2"/>
  <c r="K344" i="2"/>
  <c r="B344" i="2" s="1"/>
  <c r="O343" i="2"/>
  <c r="K343" i="2"/>
  <c r="B343" i="2" s="1"/>
  <c r="M342" i="2"/>
  <c r="Q341" i="2"/>
  <c r="G341" i="2"/>
  <c r="M340" i="2"/>
  <c r="Q339" i="2"/>
  <c r="G339" i="2"/>
  <c r="M338" i="2"/>
  <c r="Q337" i="2"/>
  <c r="G337" i="2"/>
  <c r="M336" i="2"/>
  <c r="Q335" i="2"/>
  <c r="G335" i="2"/>
  <c r="M334" i="2"/>
  <c r="Q333" i="2"/>
  <c r="G333" i="2"/>
  <c r="M332" i="2"/>
  <c r="Q331" i="2"/>
  <c r="G331" i="2"/>
  <c r="M330" i="2"/>
  <c r="Q329" i="2"/>
  <c r="G329" i="2"/>
  <c r="M328" i="2"/>
  <c r="Q327" i="2"/>
  <c r="G327" i="2"/>
  <c r="M326" i="2"/>
  <c r="Q325" i="2"/>
  <c r="G325" i="2"/>
  <c r="M324" i="2"/>
  <c r="Q323" i="2"/>
  <c r="G323" i="2"/>
  <c r="M322" i="2"/>
  <c r="Q321" i="2"/>
  <c r="G321" i="2"/>
  <c r="M320" i="2"/>
  <c r="Q319" i="2"/>
  <c r="G319" i="2"/>
  <c r="M318" i="2"/>
  <c r="Q317" i="2"/>
  <c r="G317" i="2"/>
  <c r="M316" i="2"/>
  <c r="Q315" i="2"/>
  <c r="G315" i="2"/>
  <c r="M314" i="2"/>
  <c r="Q313" i="2"/>
  <c r="G313" i="2"/>
  <c r="M312" i="2"/>
  <c r="Q311" i="2"/>
  <c r="G311" i="2"/>
  <c r="M310" i="2"/>
  <c r="Q309" i="2"/>
  <c r="G309" i="2"/>
  <c r="M308" i="2"/>
  <c r="Q307" i="2"/>
  <c r="G307" i="2"/>
  <c r="M306" i="2"/>
  <c r="Q305" i="2"/>
  <c r="G305" i="2"/>
  <c r="M304" i="2"/>
  <c r="Q303" i="2"/>
  <c r="G303" i="2"/>
  <c r="M302" i="2"/>
  <c r="Q301" i="2"/>
  <c r="G301" i="2"/>
  <c r="M300" i="2"/>
  <c r="Q299" i="2"/>
  <c r="G299" i="2"/>
  <c r="M298" i="2"/>
  <c r="Q297" i="2"/>
  <c r="G297" i="2"/>
  <c r="M296" i="2"/>
  <c r="Q295" i="2"/>
  <c r="G295" i="2"/>
  <c r="M294" i="2"/>
  <c r="Q293" i="2"/>
  <c r="G293" i="2"/>
  <c r="M292" i="2"/>
  <c r="Q291" i="2"/>
  <c r="G291" i="2"/>
  <c r="M290" i="2"/>
  <c r="Q289" i="2"/>
  <c r="G289" i="2"/>
  <c r="M288" i="2"/>
  <c r="Q287" i="2"/>
  <c r="G287" i="2"/>
  <c r="M286" i="2"/>
  <c r="Q285" i="2"/>
  <c r="G285" i="2"/>
  <c r="M284" i="2"/>
  <c r="Q283" i="2"/>
  <c r="G283" i="2"/>
  <c r="M282" i="2"/>
  <c r="Q281" i="2"/>
  <c r="G281" i="2"/>
  <c r="M280" i="2"/>
  <c r="Q279" i="2"/>
  <c r="G279" i="2"/>
  <c r="M278" i="2"/>
  <c r="Q277" i="2"/>
  <c r="G277" i="2"/>
  <c r="M276" i="2"/>
  <c r="Q275" i="2"/>
  <c r="G275" i="2"/>
  <c r="M274" i="2"/>
  <c r="Q273" i="2"/>
  <c r="G273" i="2"/>
  <c r="M272" i="2"/>
  <c r="Q271" i="2"/>
  <c r="G271" i="2"/>
  <c r="M270" i="2"/>
  <c r="Q269" i="2"/>
  <c r="G269" i="2"/>
  <c r="M268" i="2"/>
  <c r="Q267" i="2"/>
  <c r="G267" i="2"/>
  <c r="M266" i="2"/>
  <c r="Q265" i="2"/>
  <c r="G265" i="2"/>
  <c r="M264" i="2"/>
  <c r="Q263" i="2"/>
  <c r="G263" i="2"/>
  <c r="M262" i="2"/>
  <c r="Q261" i="2"/>
  <c r="G261" i="2"/>
  <c r="M260" i="2"/>
  <c r="Q259" i="2"/>
  <c r="G259" i="2"/>
  <c r="M258" i="2"/>
  <c r="Q257" i="2"/>
  <c r="G257" i="2"/>
  <c r="M256" i="2"/>
  <c r="Q255" i="2"/>
  <c r="G255" i="2"/>
  <c r="M254" i="2"/>
  <c r="Q253" i="2"/>
  <c r="G253" i="2"/>
  <c r="M252" i="2"/>
  <c r="Q251" i="2"/>
  <c r="G251" i="2"/>
  <c r="M250" i="2"/>
  <c r="Q249" i="2"/>
  <c r="G249" i="2"/>
  <c r="M248" i="2"/>
  <c r="Q247" i="2"/>
  <c r="G247" i="2"/>
  <c r="M246" i="2"/>
  <c r="Q245" i="2"/>
  <c r="G245" i="2"/>
  <c r="M244" i="2"/>
  <c r="Q243" i="2"/>
  <c r="G243" i="2"/>
  <c r="M242" i="2"/>
  <c r="Q241" i="2"/>
  <c r="G241" i="2"/>
  <c r="M240" i="2"/>
  <c r="Q239" i="2"/>
  <c r="G239" i="2"/>
  <c r="M238" i="2"/>
  <c r="Q237" i="2"/>
  <c r="G237" i="2"/>
  <c r="M236" i="2"/>
  <c r="Q235" i="2"/>
  <c r="G235" i="2"/>
  <c r="M234" i="2"/>
  <c r="Q233" i="2"/>
  <c r="G233" i="2"/>
  <c r="M232" i="2"/>
  <c r="Q231" i="2"/>
  <c r="G231" i="2"/>
  <c r="M230" i="2"/>
  <c r="Q229" i="2"/>
  <c r="G229" i="2"/>
  <c r="M228" i="2"/>
  <c r="Q227" i="2"/>
  <c r="G227" i="2"/>
  <c r="M226" i="2"/>
  <c r="Q225" i="2"/>
  <c r="G225" i="2"/>
  <c r="M224" i="2"/>
  <c r="Q223" i="2"/>
  <c r="G223" i="2"/>
  <c r="M222" i="2"/>
  <c r="Q221" i="2"/>
  <c r="G221" i="2"/>
  <c r="M220" i="2"/>
  <c r="Q219" i="2"/>
  <c r="G219" i="2"/>
  <c r="M218" i="2"/>
  <c r="Q217" i="2"/>
  <c r="G217" i="2"/>
  <c r="M216" i="2"/>
  <c r="Q215" i="2"/>
  <c r="G215" i="2"/>
  <c r="M214" i="2"/>
  <c r="Q213" i="2"/>
  <c r="G213" i="2"/>
  <c r="M212" i="2"/>
  <c r="Q211" i="2"/>
  <c r="G211" i="2"/>
  <c r="M210" i="2"/>
  <c r="Q209" i="2"/>
  <c r="G209" i="2"/>
  <c r="M208" i="2"/>
  <c r="Q207" i="2"/>
  <c r="G207" i="2"/>
  <c r="M206" i="2"/>
  <c r="Q205" i="2"/>
  <c r="G205" i="2"/>
  <c r="M204" i="2"/>
  <c r="Q203" i="2"/>
  <c r="G203" i="2"/>
  <c r="M202" i="2"/>
  <c r="Q201" i="2"/>
  <c r="G201" i="2"/>
  <c r="M200" i="2"/>
  <c r="Q199" i="2"/>
  <c r="G199" i="2"/>
  <c r="M198" i="2"/>
  <c r="Q197" i="2"/>
  <c r="G197" i="2"/>
  <c r="M196" i="2"/>
  <c r="Q195" i="2"/>
  <c r="G195" i="2"/>
  <c r="M194" i="2"/>
  <c r="Q193" i="2"/>
  <c r="G193" i="2"/>
  <c r="M192" i="2"/>
  <c r="Q191" i="2"/>
  <c r="G191" i="2"/>
  <c r="M190" i="2"/>
  <c r="Q189" i="2"/>
  <c r="G189" i="2"/>
  <c r="M188" i="2"/>
  <c r="Q187" i="2"/>
  <c r="G187" i="2"/>
  <c r="M186" i="2"/>
  <c r="Q185" i="2"/>
  <c r="G185" i="2"/>
  <c r="M184" i="2"/>
  <c r="Q183" i="2"/>
  <c r="G183" i="2"/>
  <c r="M182" i="2"/>
  <c r="Q181" i="2"/>
  <c r="G181" i="2"/>
  <c r="M180" i="2"/>
  <c r="Q179" i="2"/>
  <c r="G179" i="2"/>
  <c r="M178" i="2"/>
  <c r="Q177" i="2"/>
  <c r="G177" i="2"/>
  <c r="M176" i="2"/>
  <c r="Q175" i="2"/>
  <c r="G175" i="2"/>
  <c r="M174" i="2"/>
  <c r="Q173" i="2"/>
  <c r="G173" i="2"/>
  <c r="M172" i="2"/>
  <c r="K171" i="2"/>
  <c r="B171" i="2" s="1"/>
  <c r="E170" i="2"/>
  <c r="O168" i="2"/>
  <c r="K167" i="2"/>
  <c r="B167" i="2" s="1"/>
  <c r="E166" i="2"/>
  <c r="O164" i="2"/>
  <c r="K163" i="2"/>
  <c r="B163" i="2" s="1"/>
  <c r="E162" i="2"/>
  <c r="O160" i="2"/>
  <c r="K159" i="2"/>
  <c r="B159" i="2" s="1"/>
  <c r="E158" i="2"/>
  <c r="O156" i="2"/>
  <c r="K155" i="2"/>
  <c r="B155" i="2" s="1"/>
  <c r="E154" i="2"/>
  <c r="O152" i="2"/>
  <c r="K151" i="2"/>
  <c r="B151" i="2" s="1"/>
  <c r="E150" i="2"/>
  <c r="O148" i="2"/>
  <c r="K147" i="2"/>
  <c r="B147" i="2" s="1"/>
  <c r="E146" i="2"/>
  <c r="O144" i="2"/>
  <c r="K143" i="2"/>
  <c r="B143" i="2" s="1"/>
  <c r="E142" i="2"/>
  <c r="O140" i="2"/>
  <c r="K139" i="2"/>
  <c r="B139" i="2" s="1"/>
  <c r="E138" i="2"/>
  <c r="O136" i="2"/>
  <c r="K135" i="2"/>
  <c r="B135" i="2" s="1"/>
  <c r="E134" i="2"/>
  <c r="O132" i="2"/>
  <c r="K131" i="2"/>
  <c r="B131" i="2" s="1"/>
  <c r="E130" i="2"/>
  <c r="O128" i="2"/>
  <c r="K127" i="2"/>
  <c r="B127" i="2" s="1"/>
  <c r="E126" i="2"/>
  <c r="O124" i="2"/>
  <c r="K123" i="2"/>
  <c r="B123" i="2" s="1"/>
  <c r="E122" i="2"/>
  <c r="O120" i="2"/>
  <c r="K119" i="2"/>
  <c r="B119" i="2" s="1"/>
  <c r="E118" i="2"/>
  <c r="O116" i="2"/>
  <c r="K115" i="2"/>
  <c r="B115" i="2" s="1"/>
  <c r="E114" i="2"/>
  <c r="O112" i="2"/>
  <c r="K111" i="2"/>
  <c r="B111" i="2" s="1"/>
  <c r="E110" i="2"/>
  <c r="O108" i="2"/>
  <c r="K107" i="2"/>
  <c r="B107" i="2" s="1"/>
  <c r="E106" i="2"/>
  <c r="O104" i="2"/>
  <c r="K103" i="2"/>
  <c r="B103" i="2" s="1"/>
  <c r="E102" i="2"/>
  <c r="O100" i="2"/>
  <c r="K99" i="2"/>
  <c r="B99" i="2" s="1"/>
  <c r="E98" i="2"/>
  <c r="O96" i="2"/>
  <c r="K95" i="2"/>
  <c r="B95" i="2" s="1"/>
  <c r="E94" i="2"/>
  <c r="H92" i="2"/>
  <c r="M90" i="2"/>
  <c r="O88" i="2"/>
  <c r="R86" i="2"/>
  <c r="G85" i="2"/>
  <c r="K83" i="2"/>
  <c r="B83" i="2" s="1"/>
  <c r="N81" i="2"/>
  <c r="Q79" i="2"/>
  <c r="L77" i="2"/>
  <c r="F75" i="2"/>
  <c r="P72" i="2"/>
  <c r="K70" i="2"/>
  <c r="B70" i="2" s="1"/>
  <c r="E68" i="2"/>
  <c r="O65" i="2"/>
  <c r="H63" i="2"/>
  <c r="K60" i="2"/>
  <c r="B60" i="2" s="1"/>
  <c r="B44" i="2" l="1"/>
  <c r="C44" i="2"/>
  <c r="B18" i="2"/>
  <c r="C18" i="2"/>
  <c r="J18" i="2" s="1"/>
  <c r="B36" i="2"/>
  <c r="C36" i="2"/>
  <c r="J36" i="2" s="1"/>
  <c r="B16" i="2"/>
  <c r="C16" i="2"/>
  <c r="J16" i="2" s="1"/>
  <c r="B48" i="2"/>
  <c r="C48" i="2"/>
  <c r="B49" i="2"/>
  <c r="C49" i="2"/>
  <c r="B39" i="2"/>
  <c r="C39" i="2"/>
  <c r="B24" i="2"/>
  <c r="C24" i="2"/>
  <c r="J24" i="2" s="1"/>
  <c r="B29" i="2"/>
  <c r="C29" i="2"/>
  <c r="J29" i="2" s="1"/>
  <c r="B25" i="2"/>
  <c r="C25" i="2"/>
  <c r="J25" i="2" s="1"/>
  <c r="B50" i="2"/>
  <c r="C50" i="2"/>
  <c r="B37" i="2"/>
  <c r="C37" i="2"/>
  <c r="B19" i="2"/>
  <c r="C19" i="2"/>
  <c r="J19" i="2" s="1"/>
  <c r="B53" i="2"/>
  <c r="C53" i="2"/>
  <c r="B23" i="2"/>
  <c r="C23" i="2"/>
  <c r="J23" i="2" s="1"/>
  <c r="B55" i="2"/>
  <c r="C55" i="2"/>
  <c r="B38" i="2"/>
  <c r="C38" i="2"/>
  <c r="B28" i="2"/>
  <c r="C28" i="2"/>
  <c r="J28" i="2" s="1"/>
  <c r="B43" i="2"/>
  <c r="C43" i="2"/>
  <c r="B12" i="2"/>
  <c r="C12" i="2"/>
  <c r="J12" i="2" s="1"/>
  <c r="B22" i="2"/>
  <c r="C22" i="2"/>
  <c r="J22" i="2" s="1"/>
  <c r="B31" i="2"/>
  <c r="C31" i="2"/>
  <c r="J31" i="2" s="1"/>
  <c r="B14" i="2"/>
  <c r="C14" i="2"/>
  <c r="J14" i="2" s="1"/>
  <c r="B30" i="2"/>
  <c r="C30" i="2"/>
  <c r="J30" i="2" s="1"/>
  <c r="B33" i="2"/>
  <c r="C33" i="2"/>
  <c r="J33" i="2" s="1"/>
  <c r="B57" i="2"/>
  <c r="C57" i="2"/>
  <c r="B35" i="2"/>
  <c r="C35" i="2"/>
  <c r="J35" i="2" s="1"/>
  <c r="C51" i="2"/>
  <c r="B15" i="2"/>
  <c r="C15" i="2"/>
  <c r="J15" i="2" s="1"/>
  <c r="B47" i="2"/>
  <c r="C47" i="2"/>
  <c r="B46" i="2"/>
  <c r="C46" i="2"/>
  <c r="B32" i="2"/>
  <c r="C32" i="2"/>
  <c r="J32" i="2" s="1"/>
  <c r="B41" i="2"/>
  <c r="C41" i="2"/>
  <c r="B45" i="2"/>
  <c r="C45" i="2"/>
  <c r="B26" i="2"/>
  <c r="C26" i="2"/>
  <c r="J26" i="2" s="1"/>
  <c r="B13" i="2"/>
  <c r="C13" i="2"/>
  <c r="J13" i="2" s="1"/>
  <c r="B54" i="2"/>
  <c r="C54" i="2"/>
  <c r="B40" i="2"/>
  <c r="C40" i="2"/>
  <c r="B56" i="2"/>
  <c r="C56" i="2"/>
  <c r="B9" i="2"/>
  <c r="C9" i="2"/>
  <c r="J9" i="2" s="1"/>
  <c r="B34" i="2"/>
  <c r="C34" i="2"/>
  <c r="J34" i="2" s="1"/>
  <c r="B8" i="2"/>
  <c r="C8" i="2"/>
  <c r="J8" i="2" s="1"/>
  <c r="B27" i="2"/>
  <c r="C27" i="2"/>
  <c r="J27" i="2" s="1"/>
  <c r="B59" i="2"/>
  <c r="C59" i="2"/>
  <c r="B52" i="2"/>
  <c r="C52" i="2"/>
  <c r="B17" i="2"/>
  <c r="C17" i="2"/>
  <c r="J17" i="2" s="1"/>
  <c r="B11" i="2"/>
  <c r="C11" i="2"/>
  <c r="J11" i="2" s="1"/>
  <c r="B20" i="2"/>
  <c r="C20" i="2"/>
  <c r="J20" i="2" s="1"/>
  <c r="B58" i="2"/>
  <c r="C58" i="2"/>
  <c r="B21" i="2"/>
  <c r="C21" i="2"/>
  <c r="J21" i="2" s="1"/>
  <c r="B10" i="2"/>
  <c r="C10" i="2"/>
  <c r="J10" i="2" s="1"/>
  <c r="B42" i="2"/>
  <c r="C42" i="2"/>
  <c r="C345" i="2"/>
  <c r="C365" i="2"/>
  <c r="C389" i="2"/>
  <c r="C409" i="2"/>
  <c r="C437" i="2"/>
  <c r="C457" i="2"/>
  <c r="C473" i="2"/>
  <c r="C489" i="2"/>
  <c r="C128" i="2"/>
  <c r="C156" i="2"/>
  <c r="C231" i="2"/>
  <c r="C295" i="2"/>
  <c r="C262" i="2"/>
  <c r="C310" i="2"/>
  <c r="C342" i="2"/>
  <c r="C192" i="2"/>
  <c r="C284" i="2"/>
  <c r="C102" i="2"/>
  <c r="C106" i="2"/>
  <c r="C110" i="2"/>
  <c r="C114" i="2"/>
  <c r="C118" i="2"/>
  <c r="C122" i="2"/>
  <c r="C126" i="2"/>
  <c r="C130" i="2"/>
  <c r="C134" i="2"/>
  <c r="C138" i="2"/>
  <c r="C142" i="2"/>
  <c r="C146" i="2"/>
  <c r="C150" i="2"/>
  <c r="C154" i="2"/>
  <c r="C158" i="2"/>
  <c r="C162" i="2"/>
  <c r="C166" i="2"/>
  <c r="C179" i="2"/>
  <c r="C195" i="2"/>
  <c r="C211" i="2"/>
  <c r="C227" i="2"/>
  <c r="C243" i="2"/>
  <c r="C259" i="2"/>
  <c r="C275" i="2"/>
  <c r="C291" i="2"/>
  <c r="C307" i="2"/>
  <c r="C323" i="2"/>
  <c r="C339" i="2"/>
  <c r="C108" i="2"/>
  <c r="C116" i="2"/>
  <c r="C124" i="2"/>
  <c r="C132" i="2"/>
  <c r="C140" i="2"/>
  <c r="C152" i="2"/>
  <c r="C160" i="2"/>
  <c r="C168" i="2"/>
  <c r="C356" i="2"/>
  <c r="C380" i="2"/>
  <c r="C408" i="2"/>
  <c r="C452" i="2"/>
  <c r="C219" i="2"/>
  <c r="C235" i="2"/>
  <c r="C251" i="2"/>
  <c r="C267" i="2"/>
  <c r="C331" i="2"/>
  <c r="C177" i="2"/>
  <c r="C209" i="2"/>
  <c r="C241" i="2"/>
  <c r="C289" i="2"/>
  <c r="C321" i="2"/>
  <c r="C188" i="2"/>
  <c r="C220" i="2"/>
  <c r="C256" i="2"/>
  <c r="C186" i="2"/>
  <c r="C202" i="2"/>
  <c r="C266" i="2"/>
  <c r="C282" i="2"/>
  <c r="C314" i="2"/>
  <c r="C330" i="2"/>
  <c r="C200" i="2"/>
  <c r="C292" i="2"/>
  <c r="C324" i="2"/>
  <c r="C113" i="2"/>
  <c r="C353" i="2"/>
  <c r="C369" i="2"/>
  <c r="C381" i="2"/>
  <c r="C401" i="2"/>
  <c r="C417" i="2"/>
  <c r="C429" i="2"/>
  <c r="C445" i="2"/>
  <c r="C461" i="2"/>
  <c r="C485" i="2"/>
  <c r="C120" i="2"/>
  <c r="C144" i="2"/>
  <c r="C183" i="2"/>
  <c r="C279" i="2"/>
  <c r="C327" i="2"/>
  <c r="C115" i="2"/>
  <c r="C147" i="2"/>
  <c r="C173" i="2"/>
  <c r="C333" i="2"/>
  <c r="C182" i="2"/>
  <c r="C294" i="2"/>
  <c r="C224" i="2"/>
  <c r="C252" i="2"/>
  <c r="C350" i="2"/>
  <c r="C362" i="2"/>
  <c r="C374" i="2"/>
  <c r="C390" i="2"/>
  <c r="C398" i="2"/>
  <c r="C410" i="2"/>
  <c r="C422" i="2"/>
  <c r="C434" i="2"/>
  <c r="C446" i="2"/>
  <c r="C458" i="2"/>
  <c r="C470" i="2"/>
  <c r="C482" i="2"/>
  <c r="C490" i="2"/>
  <c r="C170" i="2"/>
  <c r="C185" i="2"/>
  <c r="C201" i="2"/>
  <c r="C217" i="2"/>
  <c r="C233" i="2"/>
  <c r="C249" i="2"/>
  <c r="C265" i="2"/>
  <c r="C281" i="2"/>
  <c r="C297" i="2"/>
  <c r="C313" i="2"/>
  <c r="C329" i="2"/>
  <c r="C176" i="2"/>
  <c r="C204" i="2"/>
  <c r="C240" i="2"/>
  <c r="C272" i="2"/>
  <c r="C304" i="2"/>
  <c r="C336" i="2"/>
  <c r="C178" i="2"/>
  <c r="C194" i="2"/>
  <c r="C210" i="2"/>
  <c r="C226" i="2"/>
  <c r="C242" i="2"/>
  <c r="C258" i="2"/>
  <c r="C274" i="2"/>
  <c r="C290" i="2"/>
  <c r="C306" i="2"/>
  <c r="C322" i="2"/>
  <c r="C338" i="2"/>
  <c r="C180" i="2"/>
  <c r="C216" i="2"/>
  <c r="C244" i="2"/>
  <c r="C276" i="2"/>
  <c r="C308" i="2"/>
  <c r="C340" i="2"/>
  <c r="C129" i="2"/>
  <c r="C161" i="2"/>
  <c r="C111" i="2"/>
  <c r="C143" i="2"/>
  <c r="C348" i="2"/>
  <c r="C364" i="2"/>
  <c r="C384" i="2"/>
  <c r="C400" i="2"/>
  <c r="C416" i="2"/>
  <c r="C428" i="2"/>
  <c r="C440" i="2"/>
  <c r="C464" i="2"/>
  <c r="C488" i="2"/>
  <c r="C123" i="2"/>
  <c r="C193" i="2"/>
  <c r="C225" i="2"/>
  <c r="C257" i="2"/>
  <c r="C273" i="2"/>
  <c r="C305" i="2"/>
  <c r="C337" i="2"/>
  <c r="C218" i="2"/>
  <c r="C234" i="2"/>
  <c r="C250" i="2"/>
  <c r="C298" i="2"/>
  <c r="C228" i="2"/>
  <c r="C260" i="2"/>
  <c r="C145" i="2"/>
  <c r="C103" i="2"/>
  <c r="C357" i="2"/>
  <c r="C373" i="2"/>
  <c r="C385" i="2"/>
  <c r="C397" i="2"/>
  <c r="C413" i="2"/>
  <c r="C425" i="2"/>
  <c r="C441" i="2"/>
  <c r="C453" i="2"/>
  <c r="C465" i="2"/>
  <c r="C477" i="2"/>
  <c r="C481" i="2"/>
  <c r="C497" i="2"/>
  <c r="C112" i="2"/>
  <c r="C136" i="2"/>
  <c r="C164" i="2"/>
  <c r="C199" i="2"/>
  <c r="C215" i="2"/>
  <c r="C311" i="2"/>
  <c r="C189" i="2"/>
  <c r="C278" i="2"/>
  <c r="C316" i="2"/>
  <c r="C121" i="2"/>
  <c r="C354" i="2"/>
  <c r="C366" i="2"/>
  <c r="C378" i="2"/>
  <c r="C386" i="2"/>
  <c r="C402" i="2"/>
  <c r="C414" i="2"/>
  <c r="C426" i="2"/>
  <c r="C442" i="2"/>
  <c r="C454" i="2"/>
  <c r="C466" i="2"/>
  <c r="C478" i="2"/>
  <c r="C494" i="2"/>
  <c r="C343" i="2"/>
  <c r="C359" i="2"/>
  <c r="C371" i="2"/>
  <c r="C383" i="2"/>
  <c r="C395" i="2"/>
  <c r="C407" i="2"/>
  <c r="C419" i="2"/>
  <c r="C431" i="2"/>
  <c r="C443" i="2"/>
  <c r="C455" i="2"/>
  <c r="C471" i="2"/>
  <c r="C487" i="2"/>
  <c r="C191" i="2"/>
  <c r="C207" i="2"/>
  <c r="C223" i="2"/>
  <c r="C239" i="2"/>
  <c r="C255" i="2"/>
  <c r="C271" i="2"/>
  <c r="C287" i="2"/>
  <c r="C303" i="2"/>
  <c r="C319" i="2"/>
  <c r="C335" i="2"/>
  <c r="C172" i="2"/>
  <c r="C344" i="2"/>
  <c r="C352" i="2"/>
  <c r="C360" i="2"/>
  <c r="C368" i="2"/>
  <c r="C372" i="2"/>
  <c r="C376" i="2"/>
  <c r="C388" i="2"/>
  <c r="C392" i="2"/>
  <c r="C396" i="2"/>
  <c r="C404" i="2"/>
  <c r="C412" i="2"/>
  <c r="C420" i="2"/>
  <c r="C424" i="2"/>
  <c r="C432" i="2"/>
  <c r="C436" i="2"/>
  <c r="C444" i="2"/>
  <c r="C448" i="2"/>
  <c r="C456" i="2"/>
  <c r="C460" i="2"/>
  <c r="C468" i="2"/>
  <c r="C472" i="2"/>
  <c r="C476" i="2"/>
  <c r="C480" i="2"/>
  <c r="C484" i="2"/>
  <c r="C492" i="2"/>
  <c r="C496" i="2"/>
  <c r="C187" i="2"/>
  <c r="C203" i="2"/>
  <c r="C283" i="2"/>
  <c r="C299" i="2"/>
  <c r="C315" i="2"/>
  <c r="C155" i="2"/>
  <c r="C288" i="2"/>
  <c r="C320" i="2"/>
  <c r="C135" i="2"/>
  <c r="C167" i="2"/>
  <c r="C349" i="2"/>
  <c r="C361" i="2"/>
  <c r="C377" i="2"/>
  <c r="C393" i="2"/>
  <c r="C405" i="2"/>
  <c r="C421" i="2"/>
  <c r="C433" i="2"/>
  <c r="C449" i="2"/>
  <c r="C469" i="2"/>
  <c r="C493" i="2"/>
  <c r="C104" i="2"/>
  <c r="C148" i="2"/>
  <c r="C247" i="2"/>
  <c r="C263" i="2"/>
  <c r="C205" i="2"/>
  <c r="C221" i="2"/>
  <c r="C237" i="2"/>
  <c r="C253" i="2"/>
  <c r="C269" i="2"/>
  <c r="C285" i="2"/>
  <c r="C301" i="2"/>
  <c r="C317" i="2"/>
  <c r="C175" i="2"/>
  <c r="C184" i="2"/>
  <c r="C212" i="2"/>
  <c r="C248" i="2"/>
  <c r="C280" i="2"/>
  <c r="C312" i="2"/>
  <c r="C198" i="2"/>
  <c r="C214" i="2"/>
  <c r="C230" i="2"/>
  <c r="C246" i="2"/>
  <c r="C326" i="2"/>
  <c r="C153" i="2"/>
  <c r="C127" i="2"/>
  <c r="C159" i="2"/>
  <c r="C346" i="2"/>
  <c r="C358" i="2"/>
  <c r="C370" i="2"/>
  <c r="C382" i="2"/>
  <c r="C394" i="2"/>
  <c r="C406" i="2"/>
  <c r="C418" i="2"/>
  <c r="C430" i="2"/>
  <c r="C438" i="2"/>
  <c r="C450" i="2"/>
  <c r="C462" i="2"/>
  <c r="C474" i="2"/>
  <c r="C486" i="2"/>
  <c r="C107" i="2"/>
  <c r="C139" i="2"/>
  <c r="C171" i="2"/>
  <c r="C119" i="2"/>
  <c r="C151" i="2"/>
  <c r="C347" i="2"/>
  <c r="C351" i="2"/>
  <c r="C355" i="2"/>
  <c r="C363" i="2"/>
  <c r="C367" i="2"/>
  <c r="C375" i="2"/>
  <c r="C379" i="2"/>
  <c r="C387" i="2"/>
  <c r="C391" i="2"/>
  <c r="C399" i="2"/>
  <c r="C403" i="2"/>
  <c r="C411" i="2"/>
  <c r="C415" i="2"/>
  <c r="C423" i="2"/>
  <c r="C427" i="2"/>
  <c r="C435" i="2"/>
  <c r="C439" i="2"/>
  <c r="C447" i="2"/>
  <c r="C451" i="2"/>
  <c r="C459" i="2"/>
  <c r="C463" i="2"/>
  <c r="C467" i="2"/>
  <c r="C475" i="2"/>
  <c r="C479" i="2"/>
  <c r="C483" i="2"/>
  <c r="C491" i="2"/>
  <c r="C495" i="2"/>
  <c r="C131" i="2"/>
  <c r="C163" i="2"/>
  <c r="C181" i="2"/>
  <c r="C197" i="2"/>
  <c r="C213" i="2"/>
  <c r="C229" i="2"/>
  <c r="C245" i="2"/>
  <c r="C261" i="2"/>
  <c r="C277" i="2"/>
  <c r="C293" i="2"/>
  <c r="C309" i="2"/>
  <c r="C325" i="2"/>
  <c r="C341" i="2"/>
  <c r="C196" i="2"/>
  <c r="C232" i="2"/>
  <c r="C264" i="2"/>
  <c r="C296" i="2"/>
  <c r="C328" i="2"/>
  <c r="C174" i="2"/>
  <c r="C190" i="2"/>
  <c r="C206" i="2"/>
  <c r="C222" i="2"/>
  <c r="C238" i="2"/>
  <c r="C254" i="2"/>
  <c r="C270" i="2"/>
  <c r="C286" i="2"/>
  <c r="C302" i="2"/>
  <c r="C318" i="2"/>
  <c r="C334" i="2"/>
  <c r="C208" i="2"/>
  <c r="C236" i="2"/>
  <c r="C268" i="2"/>
  <c r="C300" i="2"/>
  <c r="C332" i="2"/>
  <c r="C105" i="2"/>
  <c r="C137" i="2"/>
  <c r="C169" i="2"/>
  <c r="C79" i="2"/>
  <c r="C70" i="2"/>
  <c r="C99" i="2"/>
  <c r="C68" i="2"/>
  <c r="C77" i="2"/>
  <c r="C85" i="2"/>
  <c r="C67" i="2"/>
  <c r="C96" i="2"/>
  <c r="C82" i="2"/>
  <c r="C87" i="2"/>
  <c r="C69" i="2"/>
  <c r="C89" i="2"/>
  <c r="C63" i="2"/>
  <c r="C92" i="2"/>
  <c r="C74" i="2"/>
  <c r="C86" i="2"/>
  <c r="C71" i="2"/>
  <c r="C64" i="2"/>
  <c r="C72" i="2"/>
  <c r="C81" i="2"/>
  <c r="C78" i="2"/>
  <c r="C88" i="2"/>
  <c r="C61" i="2"/>
  <c r="C65" i="2"/>
  <c r="C66" i="2"/>
  <c r="C94" i="2"/>
  <c r="C98" i="2"/>
  <c r="C91" i="2"/>
  <c r="C100" i="2"/>
  <c r="C60" i="2"/>
  <c r="C95" i="2"/>
  <c r="C83" i="2"/>
  <c r="C73" i="2"/>
  <c r="C93" i="2"/>
  <c r="C75" i="2"/>
  <c r="C62" i="2"/>
  <c r="C90" i="2"/>
  <c r="C84" i="2"/>
  <c r="C80" i="2"/>
  <c r="C97" i="2"/>
  <c r="H2" i="2" l="1"/>
  <c r="B3" i="5"/>
  <c r="B10" i="5" s="1"/>
  <c r="M4" i="2"/>
  <c r="B2" i="5"/>
  <c r="B9" i="5" s="1"/>
  <c r="B4" i="5"/>
  <c r="B1" i="5" l="1"/>
  <c r="H1" i="2"/>
</calcChain>
</file>

<file path=xl/sharedStrings.xml><?xml version="1.0" encoding="utf-8"?>
<sst xmlns="http://schemas.openxmlformats.org/spreadsheetml/2006/main" count="2499" uniqueCount="242">
  <si>
    <t>UNB</t>
  </si>
  <si>
    <t>Cliente</t>
  </si>
  <si>
    <t>Nome</t>
  </si>
  <si>
    <t>Titulo</t>
  </si>
  <si>
    <t>Parcela</t>
  </si>
  <si>
    <t>GDD</t>
  </si>
  <si>
    <t>GteVendas</t>
  </si>
  <si>
    <t>Superv</t>
  </si>
  <si>
    <t>Vendedor</t>
  </si>
  <si>
    <t>Especie</t>
  </si>
  <si>
    <t>Vinculo</t>
  </si>
  <si>
    <t>Portador</t>
  </si>
  <si>
    <t>Indicador CA/PRZ</t>
  </si>
  <si>
    <t>Dias</t>
  </si>
  <si>
    <t>DataEmissao</t>
  </si>
  <si>
    <t>DataEntrega</t>
  </si>
  <si>
    <t>DataVencto</t>
  </si>
  <si>
    <t>ValorOriginal</t>
  </si>
  <si>
    <t>ValorPendente</t>
  </si>
  <si>
    <t>ValorCorrigido</t>
  </si>
  <si>
    <t>Nr. Banco</t>
  </si>
  <si>
    <t>DV</t>
  </si>
  <si>
    <t>AGING</t>
  </si>
  <si>
    <t xml:space="preserve">          </t>
  </si>
  <si>
    <t>Nr. CV</t>
  </si>
  <si>
    <t>Segmento</t>
  </si>
  <si>
    <t>Classe de Risco Atual</t>
  </si>
  <si>
    <t>Tipo Doc</t>
  </si>
  <si>
    <t>Classe Risco Apurada</t>
  </si>
  <si>
    <t>Título de Aluguel</t>
  </si>
  <si>
    <t>Tipo Vale</t>
  </si>
  <si>
    <t>Dt Negociação</t>
  </si>
  <si>
    <t xml:space="preserve">Status da Cobrança  </t>
  </si>
  <si>
    <t>Usuário atendimento</t>
  </si>
  <si>
    <t xml:space="preserve">Histórico Último Atendimento                                        </t>
  </si>
  <si>
    <t>Título Logistica</t>
  </si>
  <si>
    <t>Franquia</t>
  </si>
  <si>
    <t>Id Venda a Vista</t>
  </si>
  <si>
    <t xml:space="preserve">  </t>
  </si>
  <si>
    <t xml:space="preserve">              </t>
  </si>
  <si>
    <t>T</t>
  </si>
  <si>
    <t xml:space="preserve"> </t>
  </si>
  <si>
    <t xml:space="preserve">                                   </t>
  </si>
  <si>
    <t xml:space="preserve">                                                  </t>
  </si>
  <si>
    <t xml:space="preserve">N         </t>
  </si>
  <si>
    <t xml:space="preserve">                    </t>
  </si>
  <si>
    <t xml:space="preserve">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</si>
  <si>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</t>
  </si>
  <si>
    <t>UNIDADE:</t>
  </si>
  <si>
    <t>MÊS:</t>
  </si>
  <si>
    <t>Validador</t>
  </si>
  <si>
    <t>INAD.</t>
  </si>
  <si>
    <t>PDD</t>
  </si>
  <si>
    <t>CLASSIFICAÇÃO</t>
  </si>
  <si>
    <t>RESPONSABILIDADE</t>
  </si>
  <si>
    <t>RN</t>
  </si>
  <si>
    <t>GV</t>
  </si>
  <si>
    <t>GC</t>
  </si>
  <si>
    <t>ATÉ 15d.</t>
  </si>
  <si>
    <t>CRUZ</t>
  </si>
  <si>
    <t>IREC.</t>
  </si>
  <si>
    <t>STATUS</t>
  </si>
  <si>
    <t>DONO</t>
  </si>
  <si>
    <t>CLIENTE</t>
  </si>
  <si>
    <t>NOME</t>
  </si>
  <si>
    <t>TITULO</t>
  </si>
  <si>
    <t>DIAS</t>
  </si>
  <si>
    <t>EMISSÃO</t>
  </si>
  <si>
    <t>ENTREGA</t>
  </si>
  <si>
    <t>VENC.TO</t>
  </si>
  <si>
    <t>VALOR</t>
  </si>
  <si>
    <t>PENDENTE</t>
  </si>
  <si>
    <t>CORRIGIDO</t>
  </si>
  <si>
    <t>Nr. BANCO</t>
  </si>
  <si>
    <t>R$ IREC. =&gt;</t>
  </si>
  <si>
    <t>R$ PDD =&gt;</t>
  </si>
  <si>
    <t>R$ INAD. =&gt;</t>
  </si>
  <si>
    <t>TT VENCIDO =&gt;</t>
  </si>
  <si>
    <t>PAINEL DE CONTAS A RECEBER VENCIDO</t>
  </si>
  <si>
    <t xml:space="preserve">SUP MERC ECONOMICO 0                    </t>
  </si>
  <si>
    <t>P</t>
  </si>
  <si>
    <t>ACIMA 75d.</t>
  </si>
  <si>
    <t>ATÉ 45d.</t>
  </si>
  <si>
    <t>ACIMA 45d.</t>
  </si>
  <si>
    <t>DATA</t>
  </si>
  <si>
    <t>AÇÃO</t>
  </si>
  <si>
    <t xml:space="preserve">IREC      </t>
  </si>
  <si>
    <t xml:space="preserve">BAR DA NETE                             </t>
  </si>
  <si>
    <t xml:space="preserve">PDD MES   </t>
  </si>
  <si>
    <t xml:space="preserve">PDDIREC   </t>
  </si>
  <si>
    <t xml:space="preserve">ESPETINHO PONTO X                       </t>
  </si>
  <si>
    <t xml:space="preserve">GELADAO PREA                            </t>
  </si>
  <si>
    <t xml:space="preserve">PDD 180   </t>
  </si>
  <si>
    <t xml:space="preserve">ROCK VARIEDADES JUR                     </t>
  </si>
  <si>
    <t xml:space="preserve">PESQUE E PAGUE SAO J                    </t>
  </si>
  <si>
    <t xml:space="preserve">ROTA DO SABOR                           </t>
  </si>
  <si>
    <t>META</t>
  </si>
  <si>
    <t>REAL</t>
  </si>
  <si>
    <t>0.12%</t>
  </si>
  <si>
    <t>FATURAMENTO MÊS</t>
  </si>
  <si>
    <t xml:space="preserve">ADEGA BAR                               </t>
  </si>
  <si>
    <t>NOME DO RN</t>
  </si>
  <si>
    <t>Francisco Damilo</t>
  </si>
  <si>
    <t>Danilo</t>
  </si>
  <si>
    <t>Francisco</t>
  </si>
  <si>
    <t>Neto</t>
  </si>
  <si>
    <t xml:space="preserve">TRE CRAZY                               </t>
  </si>
  <si>
    <t>ATÉ 30d.</t>
  </si>
  <si>
    <t>ATÉ 75d.</t>
  </si>
  <si>
    <t>NOME DO GC/GV</t>
  </si>
  <si>
    <t>SETORES</t>
  </si>
  <si>
    <t>Jaissa</t>
  </si>
  <si>
    <t>Fredson</t>
  </si>
  <si>
    <t>Anderson</t>
  </si>
  <si>
    <t xml:space="preserve">PIZZARIA O ZEZINHO                      </t>
  </si>
  <si>
    <t>Marlon Marques da Motta Mendes</t>
  </si>
  <si>
    <t xml:space="preserve">ACORDO PARCELAMENTO                                                                                                                                                                                                                               </t>
  </si>
  <si>
    <t xml:space="preserve">ORIGEM BAR                              </t>
  </si>
  <si>
    <t xml:space="preserve">Buteco dos amigos                       </t>
  </si>
  <si>
    <t xml:space="preserve">REST. E PESTICARIA D                    </t>
  </si>
  <si>
    <t xml:space="preserve">MULT STORE                              </t>
  </si>
  <si>
    <t>0.30%</t>
  </si>
  <si>
    <t>PORCENTAGEM DE CADA GV</t>
  </si>
  <si>
    <t xml:space="preserve">LANCHONETE VIA PREA                     </t>
  </si>
  <si>
    <t xml:space="preserve">FRANCISCO FLAVIO DA                     </t>
  </si>
  <si>
    <t xml:space="preserve">BAR DA DAYANNE                          </t>
  </si>
  <si>
    <t xml:space="preserve">MERCADINHO TODO DIA                     </t>
  </si>
  <si>
    <t>Inadip Mes</t>
  </si>
  <si>
    <t xml:space="preserve">MERC.KELSO                              </t>
  </si>
  <si>
    <t>Juan</t>
  </si>
  <si>
    <t xml:space="preserve">BAR DO ATEVALDO                         </t>
  </si>
  <si>
    <t xml:space="preserve">MERC SILVESTRE                          </t>
  </si>
  <si>
    <t xml:space="preserve">BEIRA DAGUA                             </t>
  </si>
  <si>
    <t xml:space="preserve">BUTECO DOS AMIGOS                       </t>
  </si>
  <si>
    <t xml:space="preserve">GUIS FAST FOOD                          </t>
  </si>
  <si>
    <t xml:space="preserve">NOVO MERCADINHO                         </t>
  </si>
  <si>
    <t xml:space="preserve">S5 - ALCHYMIST BEACH                    </t>
  </si>
  <si>
    <t xml:space="preserve">SNACK BOBY JERI                         </t>
  </si>
  <si>
    <t xml:space="preserve">COMERCIO DO MANOELZI                    </t>
  </si>
  <si>
    <t xml:space="preserve">PADARIA CENTRAL                         </t>
  </si>
  <si>
    <t xml:space="preserve">BARRACA DO LIAR                         </t>
  </si>
  <si>
    <t xml:space="preserve">ARENA LANCHES                           </t>
  </si>
  <si>
    <t xml:space="preserve">REST JERILICIA JERI                     </t>
  </si>
  <si>
    <t xml:space="preserve">JERI HORTIMERCADO                       </t>
  </si>
  <si>
    <t xml:space="preserve">BAR DA NOVA                             </t>
  </si>
  <si>
    <t xml:space="preserve">COMERCIAL GERSON                        </t>
  </si>
  <si>
    <t xml:space="preserve">ESQUINA DA FRUTA                        </t>
  </si>
  <si>
    <t xml:space="preserve">S5 - BOTECO MARESIA                     </t>
  </si>
  <si>
    <t xml:space="preserve">PADARIA PEREIRAS                        </t>
  </si>
  <si>
    <t xml:space="preserve">CASA DO SABOR                           </t>
  </si>
  <si>
    <t xml:space="preserve">MERCADINHO LAGOA GRA                    </t>
  </si>
  <si>
    <t xml:space="preserve">HTO VILLA AGUA DE CO                    </t>
  </si>
  <si>
    <t xml:space="preserve">CHUR NOSSO RANCHO                       </t>
  </si>
  <si>
    <t xml:space="preserve">MARCELO MARQUES                         </t>
  </si>
  <si>
    <t xml:space="preserve">STILO BAR                               </t>
  </si>
  <si>
    <t xml:space="preserve">CLUBE DOS COQUEIROS                     </t>
  </si>
  <si>
    <t xml:space="preserve">RESTAURANTE TIA ROSA                    </t>
  </si>
  <si>
    <t xml:space="preserve">TOP BAR                                 </t>
  </si>
  <si>
    <t xml:space="preserve">CAJUEIROS BAR                           </t>
  </si>
  <si>
    <t xml:space="preserve">RESTAURANTE PANELACO                    </t>
  </si>
  <si>
    <t xml:space="preserve">CHURR POINT DA GAL                      </t>
  </si>
  <si>
    <t xml:space="preserve">POSTO BAILARINA (BAI                    </t>
  </si>
  <si>
    <t xml:space="preserve">COMERCIAL JD                            </t>
  </si>
  <si>
    <t xml:space="preserve">MERCADINHO NENEM                        </t>
  </si>
  <si>
    <t xml:space="preserve">GELADAO DO NARDIN                       </t>
  </si>
  <si>
    <t xml:space="preserve">OHANNA SUSHI HOUSE                      </t>
  </si>
  <si>
    <t xml:space="preserve">MEGA FRIOS                              </t>
  </si>
  <si>
    <t xml:space="preserve">MERCATTO LIDER IR (C                    </t>
  </si>
  <si>
    <t xml:space="preserve">MERCADINHO VE SE LA                     </t>
  </si>
  <si>
    <t xml:space="preserve">TN CONVENIENCIA JERI                    </t>
  </si>
  <si>
    <t xml:space="preserve">ESPETINHO BAR                           </t>
  </si>
  <si>
    <t xml:space="preserve">BAT DO NENZIM                           </t>
  </si>
  <si>
    <t xml:space="preserve">CHICO DELIVERY                          </t>
  </si>
  <si>
    <t xml:space="preserve">DEPOSITO ZE ORLANDO                     </t>
  </si>
  <si>
    <t xml:space="preserve">BUTECO DO ORLANDO 2                     </t>
  </si>
  <si>
    <t xml:space="preserve">STAR CONVENIENCIA  A                    </t>
  </si>
  <si>
    <t xml:space="preserve">MERCADINHO MINI PREC                    </t>
  </si>
  <si>
    <t xml:space="preserve">S5 - REST LUA CHEIA                     </t>
  </si>
  <si>
    <t xml:space="preserve">LC. CONVENIENCIA DAS                    </t>
  </si>
  <si>
    <t xml:space="preserve">CONVENIENCIA EMPORIO                    </t>
  </si>
  <si>
    <t xml:space="preserve">C0MERCIAL ALBANIZA                      </t>
  </si>
  <si>
    <t xml:space="preserve">MERCADINHO CARNEIRO                     </t>
  </si>
  <si>
    <t xml:space="preserve">CENTRAL PALADAR                         </t>
  </si>
  <si>
    <t xml:space="preserve">MERC BENE                               </t>
  </si>
  <si>
    <t xml:space="preserve">PICANHARIA BAR E RES                    </t>
  </si>
  <si>
    <t xml:space="preserve">MERCADINHO O ODAIR                      </t>
  </si>
  <si>
    <t xml:space="preserve">BUTECO SAO JORGE                        </t>
  </si>
  <si>
    <t xml:space="preserve">BARRACA DO CHEF                         </t>
  </si>
  <si>
    <t xml:space="preserve">BAR E DEPOSITO SKINA                    </t>
  </si>
  <si>
    <t xml:space="preserve">BAR DO ANTONIO                          </t>
  </si>
  <si>
    <t xml:space="preserve">MERCADINHO DIAS                         </t>
  </si>
  <si>
    <t xml:space="preserve">COSTEIRO SEAFOOD                        </t>
  </si>
  <si>
    <t xml:space="preserve">SUCOS e CIA                             </t>
  </si>
  <si>
    <t xml:space="preserve">ANKURA PREA                             </t>
  </si>
  <si>
    <t>André</t>
  </si>
  <si>
    <t xml:space="preserve">CARNAUBA PIZZARIA                       </t>
  </si>
  <si>
    <t xml:space="preserve">MERCANTIL ALEMaO                        </t>
  </si>
  <si>
    <t xml:space="preserve">LANCHONETE CONFIANCA                    </t>
  </si>
  <si>
    <t xml:space="preserve">BOTECO LAGOA AZUL                       </t>
  </si>
  <si>
    <t xml:space="preserve">PADARIA SANTO EXPEDI                    </t>
  </si>
  <si>
    <t xml:space="preserve">LS RACOES                               </t>
  </si>
  <si>
    <t xml:space="preserve">MERCADINHO DO URI (A                    </t>
  </si>
  <si>
    <t xml:space="preserve">CLUBE DA NILCE (ACAR                    </t>
  </si>
  <si>
    <t xml:space="preserve">MERCADINHO KEVINA                       </t>
  </si>
  <si>
    <t xml:space="preserve">AGUA NA BOCA                            </t>
  </si>
  <si>
    <t xml:space="preserve">S5 - REST LEO DA VIN                    </t>
  </si>
  <si>
    <t xml:space="preserve">REST. JERIZANDO                         </t>
  </si>
  <si>
    <t xml:space="preserve">BURACO AZUL (CAICARA                    </t>
  </si>
  <si>
    <t xml:space="preserve">MERC MINI BOM PRECO                     </t>
  </si>
  <si>
    <t xml:space="preserve">MERCADINHO JEN                          </t>
  </si>
  <si>
    <t xml:space="preserve">MERC FLAVIA                             </t>
  </si>
  <si>
    <t xml:space="preserve">BAR DO CHEIROSAO                        </t>
  </si>
  <si>
    <t xml:space="preserve">ESPETINHO DO NETO                       </t>
  </si>
  <si>
    <t xml:space="preserve">BAR DO LUCAS                            </t>
  </si>
  <si>
    <t xml:space="preserve">MERCADINHO SaO FRANC                    </t>
  </si>
  <si>
    <t xml:space="preserve">BAR DO OSMAR                            </t>
  </si>
  <si>
    <t xml:space="preserve">BAR DO CABECA                           </t>
  </si>
  <si>
    <t xml:space="preserve">MERCADINHO MeI                          </t>
  </si>
  <si>
    <t xml:space="preserve">CABARE DU VENTO                         </t>
  </si>
  <si>
    <t xml:space="preserve">BODEGA DO ZECA                          </t>
  </si>
  <si>
    <t xml:space="preserve">MERCADINHO O RAIMUND                    </t>
  </si>
  <si>
    <t xml:space="preserve">RESTAURANTE BOM GOST                    </t>
  </si>
  <si>
    <t xml:space="preserve">JM SUPERMERCADO (CRU                    </t>
  </si>
  <si>
    <t xml:space="preserve">MK ATACADAO CRUZ                        </t>
  </si>
  <si>
    <t xml:space="preserve">S5 - CONTAINER CARNE                    </t>
  </si>
  <si>
    <t xml:space="preserve">MERC ELIAS JERI                         </t>
  </si>
  <si>
    <t xml:space="preserve">ATACADAO DO VALE FIL                    </t>
  </si>
  <si>
    <t xml:space="preserve">ENCANTO VERDE                           </t>
  </si>
  <si>
    <t xml:space="preserve">LANCHES E BAR OSMARZ                    </t>
  </si>
  <si>
    <t xml:space="preserve">SALUSTIANA BEACH                        </t>
  </si>
  <si>
    <t xml:space="preserve">BAR DO DIMAS                            </t>
  </si>
  <si>
    <t xml:space="preserve">S5 -  PESCADOR                          </t>
  </si>
  <si>
    <t xml:space="preserve">PADARIA CAICARA                         </t>
  </si>
  <si>
    <t xml:space="preserve">RECANTO CAIPIRA                         </t>
  </si>
  <si>
    <t xml:space="preserve">BAR DO EDVALCI                          </t>
  </si>
  <si>
    <t xml:space="preserve">DOLCISSIMO                              </t>
  </si>
  <si>
    <t xml:space="preserve">LUIS FILHO                              </t>
  </si>
  <si>
    <t xml:space="preserve">CASA DA PIZZA                           </t>
  </si>
  <si>
    <t xml:space="preserve">MERCADINHO JL                           </t>
  </si>
  <si>
    <t xml:space="preserve">MERCADINHO IMPERIO                      </t>
  </si>
  <si>
    <t xml:space="preserve">BOTECO BAR                              </t>
  </si>
  <si>
    <t xml:space="preserve">MERCADINHO DO JUNIOR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</si>
</sst>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14" fontId="0" fillId="0" borderId="0" xfId="0" applyNumberFormat="1"/>
    <xf numFmtId="0" fontId="16" fillId="0" borderId="0" xfId="0" applyFont="1"/>
    <xf numFmtId="44" fontId="0" fillId="0" borderId="0" xfId="1" applyFont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19" fillId="0" borderId="0" xfId="0" applyFont="1"/>
    <xf numFmtId="0" fontId="0" fillId="0" borderId="0" xfId="0" applyAlignment="1">
      <alignment horizontal="right"/>
    </xf>
    <xf numFmtId="0" fontId="0" fillId="34" borderId="0" xfId="0" applyFill="1" applyAlignment="1">
      <alignment horizontal="center"/>
    </xf>
    <xf numFmtId="0" fontId="0" fillId="34" borderId="0" xfId="0" applyFill="1"/>
    <xf numFmtId="0" fontId="0" fillId="0" borderId="12" xfId="0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14" fontId="0" fillId="0" borderId="16" xfId="0" applyNumberFormat="1" applyBorder="1" applyAlignment="1">
      <alignment horizontal="center"/>
    </xf>
    <xf numFmtId="44" fontId="0" fillId="0" borderId="16" xfId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/>
    <xf numFmtId="14" fontId="0" fillId="0" borderId="17" xfId="0" applyNumberFormat="1" applyBorder="1" applyAlignment="1">
      <alignment horizontal="center"/>
    </xf>
    <xf numFmtId="44" fontId="0" fillId="0" borderId="17" xfId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7" xfId="0" applyBorder="1" applyAlignment="1">
      <alignment horizontal="left"/>
    </xf>
    <xf numFmtId="0" fontId="0" fillId="0" borderId="17" xfId="0" applyBorder="1" applyAlignment="1">
      <alignment horizontal="right"/>
    </xf>
    <xf numFmtId="44" fontId="0" fillId="35" borderId="17" xfId="1" applyFont="1" applyFill="1" applyBorder="1" applyAlignment="1">
      <alignment horizontal="center"/>
    </xf>
    <xf numFmtId="0" fontId="16" fillId="0" borderId="16" xfId="0" applyFont="1" applyBorder="1" applyAlignment="1">
      <alignment horizontal="left"/>
    </xf>
    <xf numFmtId="0" fontId="16" fillId="0" borderId="16" xfId="0" applyFont="1" applyBorder="1" applyAlignment="1">
      <alignment horizontal="right"/>
    </xf>
    <xf numFmtId="44" fontId="16" fillId="35" borderId="16" xfId="1" applyFont="1" applyFill="1" applyBorder="1" applyAlignment="1">
      <alignment horizontal="center"/>
    </xf>
    <xf numFmtId="17" fontId="0" fillId="33" borderId="0" xfId="0" applyNumberFormat="1" applyFill="1" applyAlignment="1">
      <alignment horizontal="center"/>
    </xf>
    <xf numFmtId="0" fontId="21" fillId="0" borderId="0" xfId="0" applyFont="1"/>
    <xf numFmtId="0" fontId="21" fillId="0" borderId="16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17" xfId="0" applyFont="1" applyBorder="1"/>
    <xf numFmtId="14" fontId="21" fillId="0" borderId="17" xfId="0" applyNumberFormat="1" applyFont="1" applyBorder="1" applyAlignment="1">
      <alignment horizontal="center"/>
    </xf>
    <xf numFmtId="44" fontId="21" fillId="0" borderId="17" xfId="1" applyFont="1" applyBorder="1" applyAlignment="1">
      <alignment horizontal="center"/>
    </xf>
    <xf numFmtId="0" fontId="0" fillId="35" borderId="17" xfId="0" applyFill="1" applyBorder="1"/>
    <xf numFmtId="0" fontId="14" fillId="0" borderId="0" xfId="0" applyFont="1"/>
    <xf numFmtId="0" fontId="21" fillId="35" borderId="17" xfId="0" applyFont="1" applyFill="1" applyBorder="1"/>
    <xf numFmtId="0" fontId="21" fillId="35" borderId="17" xfId="0" applyFont="1" applyFill="1" applyBorder="1" applyAlignment="1">
      <alignment horizontal="center"/>
    </xf>
    <xf numFmtId="14" fontId="21" fillId="35" borderId="17" xfId="0" applyNumberFormat="1" applyFont="1" applyFill="1" applyBorder="1" applyAlignment="1">
      <alignment horizontal="center"/>
    </xf>
    <xf numFmtId="44" fontId="21" fillId="35" borderId="17" xfId="1" applyFont="1" applyFill="1" applyBorder="1" applyAlignment="1">
      <alignment horizontal="center"/>
    </xf>
    <xf numFmtId="0" fontId="0" fillId="35" borderId="17" xfId="0" applyFill="1" applyBorder="1" applyAlignment="1">
      <alignment horizontal="center"/>
    </xf>
    <xf numFmtId="14" fontId="0" fillId="35" borderId="17" xfId="0" applyNumberFormat="1" applyFill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0" fillId="0" borderId="23" xfId="0" applyBorder="1" applyAlignment="1">
      <alignment horizontal="center"/>
    </xf>
    <xf numFmtId="10" fontId="0" fillId="0" borderId="24" xfId="43" applyNumberFormat="1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44" fontId="16" fillId="36" borderId="26" xfId="1" applyFont="1" applyFill="1" applyBorder="1" applyAlignment="1">
      <alignment horizontal="center"/>
    </xf>
    <xf numFmtId="44" fontId="16" fillId="35" borderId="0" xfId="1" applyFont="1" applyFill="1" applyBorder="1" applyAlignment="1">
      <alignment horizontal="center"/>
    </xf>
    <xf numFmtId="44" fontId="0" fillId="35" borderId="0" xfId="1" applyFont="1" applyFill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2" xfId="0" applyBorder="1"/>
    <xf numFmtId="0" fontId="0" fillId="0" borderId="27" xfId="0" applyBorder="1"/>
    <xf numFmtId="0" fontId="16" fillId="0" borderId="34" xfId="0" applyFont="1" applyBorder="1" applyAlignment="1">
      <alignment horizontal="left"/>
    </xf>
    <xf numFmtId="44" fontId="16" fillId="0" borderId="35" xfId="1" applyFont="1" applyBorder="1" applyAlignment="1">
      <alignment horizontal="right"/>
    </xf>
    <xf numFmtId="0" fontId="16" fillId="36" borderId="36" xfId="0" applyFont="1" applyFill="1" applyBorder="1" applyAlignment="1">
      <alignment horizontal="center"/>
    </xf>
    <xf numFmtId="0" fontId="0" fillId="0" borderId="37" xfId="0" applyBorder="1" applyAlignment="1">
      <alignment horizontal="left"/>
    </xf>
    <xf numFmtId="44" fontId="0" fillId="0" borderId="38" xfId="1" applyFont="1" applyBorder="1" applyAlignment="1">
      <alignment horizontal="right"/>
    </xf>
    <xf numFmtId="0" fontId="0" fillId="0" borderId="39" xfId="0" applyBorder="1"/>
    <xf numFmtId="0" fontId="0" fillId="0" borderId="40" xfId="0" applyBorder="1" applyAlignment="1">
      <alignment horizontal="left"/>
    </xf>
    <xf numFmtId="44" fontId="0" fillId="0" borderId="41" xfId="1" applyFont="1" applyBorder="1" applyAlignment="1">
      <alignment horizontal="right"/>
    </xf>
    <xf numFmtId="9" fontId="0" fillId="0" borderId="0" xfId="43" applyFont="1"/>
    <xf numFmtId="10" fontId="0" fillId="0" borderId="0" xfId="43" applyNumberFormat="1" applyFont="1"/>
    <xf numFmtId="0" fontId="16" fillId="38" borderId="0" xfId="0" applyFont="1" applyFill="1"/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10" fontId="0" fillId="0" borderId="12" xfId="0" applyNumberFormat="1" applyBorder="1" applyAlignment="1">
      <alignment horizontal="center" vertical="center"/>
    </xf>
    <xf numFmtId="10" fontId="0" fillId="0" borderId="21" xfId="0" applyNumberFormat="1" applyBorder="1" applyAlignment="1">
      <alignment horizontal="center" vertical="center"/>
    </xf>
    <xf numFmtId="10" fontId="0" fillId="37" borderId="13" xfId="0" applyNumberFormat="1" applyFill="1" applyBorder="1" applyAlignment="1">
      <alignment horizontal="center" vertical="center"/>
    </xf>
    <xf numFmtId="10" fontId="0" fillId="37" borderId="22" xfId="0" applyNumberFormat="1" applyFill="1" applyBorder="1" applyAlignment="1">
      <alignment horizontal="center" vertical="center"/>
    </xf>
  </cellXfs>
  <cellStyles count="44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Porcentagem" xfId="43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19"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fgColor theme="0"/>
          <bgColor rgb="FFFF0000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1.20.11_PW01127R_Lucas_v_11491391.csv" TargetMode="External"/><Relationship Id="rId1" Type="http://schemas.openxmlformats.org/officeDocument/2006/relationships/externalLinkPath" Target="/Users/User/Downloads/01.20.11_PW01127R_Lucas_v_11491391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.20.11_PW01127R_Lucas_v_11491"/>
    </sheetNames>
    <sheetDataSet>
      <sheetData sheetId="0">
        <row r="1">
          <cell r="B1" t="str">
            <v>Cod. Setor</v>
          </cell>
          <cell r="C1" t="str">
            <v>Descricao Setor</v>
          </cell>
        </row>
        <row r="2">
          <cell r="B2">
            <v>100</v>
          </cell>
          <cell r="C2" t="str">
            <v xml:space="preserve">DANILO DE SOUZA LIRA                              </v>
          </cell>
        </row>
        <row r="3">
          <cell r="B3">
            <v>101</v>
          </cell>
          <cell r="C3" t="str">
            <v xml:space="preserve">FRANCISCO DAMILO DE                               </v>
          </cell>
        </row>
        <row r="4">
          <cell r="B4">
            <v>101</v>
          </cell>
          <cell r="C4" t="str">
            <v xml:space="preserve">FRANCISCO DAMILO DE                               </v>
          </cell>
        </row>
        <row r="5">
          <cell r="B5">
            <v>101</v>
          </cell>
          <cell r="C5" t="str">
            <v xml:space="preserve">FRANCISCO DAMILO DE                               </v>
          </cell>
        </row>
        <row r="6">
          <cell r="B6">
            <v>101</v>
          </cell>
          <cell r="C6" t="str">
            <v xml:space="preserve">FRANCISCO DAMILO DE                               </v>
          </cell>
        </row>
        <row r="7">
          <cell r="B7">
            <v>101</v>
          </cell>
          <cell r="C7" t="str">
            <v xml:space="preserve">FRANCISCO DAMILO DE                               </v>
          </cell>
        </row>
        <row r="8">
          <cell r="B8">
            <v>101</v>
          </cell>
          <cell r="C8" t="str">
            <v xml:space="preserve">FRANCISCO DAMILO DE                               </v>
          </cell>
        </row>
        <row r="9">
          <cell r="B9">
            <v>101</v>
          </cell>
          <cell r="C9" t="str">
            <v xml:space="preserve">FRANCISCO DAMILO DE                               </v>
          </cell>
        </row>
        <row r="10">
          <cell r="B10">
            <v>101</v>
          </cell>
          <cell r="C10" t="str">
            <v xml:space="preserve">FRANCISCO DAMILO DE                               </v>
          </cell>
        </row>
        <row r="11">
          <cell r="B11">
            <v>101</v>
          </cell>
          <cell r="C11" t="str">
            <v xml:space="preserve">FRANCISCO DAMILO DE                               </v>
          </cell>
        </row>
        <row r="12">
          <cell r="B12">
            <v>101</v>
          </cell>
          <cell r="C12" t="str">
            <v xml:space="preserve">FRANCISCO DAMILO DE                               </v>
          </cell>
        </row>
        <row r="13">
          <cell r="B13">
            <v>101</v>
          </cell>
          <cell r="C13" t="str">
            <v xml:space="preserve">FRANCISCO DAMILO DE                               </v>
          </cell>
        </row>
        <row r="14">
          <cell r="B14">
            <v>101</v>
          </cell>
          <cell r="C14" t="str">
            <v xml:space="preserve">FRANCISCO DAMILO DE                               </v>
          </cell>
        </row>
        <row r="15">
          <cell r="B15">
            <v>101</v>
          </cell>
          <cell r="C15" t="str">
            <v xml:space="preserve">FRANCISCO DAMILO DE                               </v>
          </cell>
        </row>
        <row r="16">
          <cell r="B16">
            <v>101</v>
          </cell>
          <cell r="C16" t="str">
            <v xml:space="preserve">FRANCISCO DAMILO DE                               </v>
          </cell>
        </row>
        <row r="17">
          <cell r="B17">
            <v>101</v>
          </cell>
          <cell r="C17" t="str">
            <v xml:space="preserve">FRANCISCO DAMILO DE                               </v>
          </cell>
        </row>
        <row r="18">
          <cell r="B18">
            <v>101</v>
          </cell>
          <cell r="C18" t="str">
            <v xml:space="preserve">FRANCISCO DAMILO DE                               </v>
          </cell>
        </row>
        <row r="19">
          <cell r="B19">
            <v>101</v>
          </cell>
          <cell r="C19" t="str">
            <v xml:space="preserve">FRANCISCO DAMILO DE                               </v>
          </cell>
        </row>
        <row r="20">
          <cell r="B20">
            <v>101</v>
          </cell>
          <cell r="C20" t="str">
            <v xml:space="preserve">FRANCISCO DAMILO DE                               </v>
          </cell>
        </row>
        <row r="21">
          <cell r="B21">
            <v>101</v>
          </cell>
          <cell r="C21" t="str">
            <v xml:space="preserve">FRANCISCO DAMILO DE                               </v>
          </cell>
        </row>
        <row r="22">
          <cell r="B22">
            <v>101</v>
          </cell>
          <cell r="C22" t="str">
            <v xml:space="preserve">FRANCISCO DAMILO DE                               </v>
          </cell>
        </row>
        <row r="23">
          <cell r="B23">
            <v>101</v>
          </cell>
          <cell r="C23" t="str">
            <v xml:space="preserve">FRANCISCO DAMILO DE                               </v>
          </cell>
        </row>
        <row r="24">
          <cell r="B24">
            <v>101</v>
          </cell>
          <cell r="C24" t="str">
            <v xml:space="preserve">FRANCISCO DAMILO DE                               </v>
          </cell>
        </row>
        <row r="25">
          <cell r="B25">
            <v>101</v>
          </cell>
          <cell r="C25" t="str">
            <v xml:space="preserve">FRANCISCO DAMILO DE                               </v>
          </cell>
        </row>
        <row r="26">
          <cell r="B26">
            <v>101</v>
          </cell>
          <cell r="C26" t="str">
            <v xml:space="preserve">FRANCISCO DAMILO DE                               </v>
          </cell>
        </row>
        <row r="27">
          <cell r="B27">
            <v>101</v>
          </cell>
          <cell r="C27" t="str">
            <v xml:space="preserve">FRANCISCO DAMILO DE                               </v>
          </cell>
        </row>
        <row r="28">
          <cell r="B28">
            <v>101</v>
          </cell>
          <cell r="C28" t="str">
            <v xml:space="preserve">FRANCISCO DAMILO DE                               </v>
          </cell>
        </row>
        <row r="29">
          <cell r="B29">
            <v>101</v>
          </cell>
          <cell r="C29" t="str">
            <v xml:space="preserve">FRANCISCO DAMILO DE                               </v>
          </cell>
        </row>
        <row r="30">
          <cell r="B30">
            <v>101</v>
          </cell>
          <cell r="C30" t="str">
            <v xml:space="preserve">FRANCISCO DAMILO DE                               </v>
          </cell>
        </row>
        <row r="31">
          <cell r="B31">
            <v>101</v>
          </cell>
          <cell r="C31" t="str">
            <v xml:space="preserve">FRANCISCO DAMILO DE                               </v>
          </cell>
        </row>
        <row r="32">
          <cell r="B32">
            <v>101</v>
          </cell>
          <cell r="C32" t="str">
            <v xml:space="preserve">FRANCISCO DAMILO DE                               </v>
          </cell>
        </row>
        <row r="33">
          <cell r="B33">
            <v>101</v>
          </cell>
          <cell r="C33" t="str">
            <v xml:space="preserve">FRANCISCO DAMILO DE                               </v>
          </cell>
        </row>
        <row r="34">
          <cell r="B34">
            <v>101</v>
          </cell>
          <cell r="C34" t="str">
            <v xml:space="preserve">FRANCISCO DAMILO DE                               </v>
          </cell>
        </row>
        <row r="35">
          <cell r="B35">
            <v>101</v>
          </cell>
          <cell r="C35" t="str">
            <v xml:space="preserve">FRANCISCO DAMILO DE                               </v>
          </cell>
        </row>
        <row r="36">
          <cell r="B36">
            <v>101</v>
          </cell>
          <cell r="C36" t="str">
            <v xml:space="preserve">FRANCISCO DAMILO DE                               </v>
          </cell>
        </row>
        <row r="37">
          <cell r="B37">
            <v>101</v>
          </cell>
          <cell r="C37" t="str">
            <v xml:space="preserve">FRANCISCO DAMILO DE                               </v>
          </cell>
        </row>
        <row r="38">
          <cell r="B38">
            <v>101</v>
          </cell>
          <cell r="C38" t="str">
            <v xml:space="preserve">FRANCISCO DAMILO DE                               </v>
          </cell>
        </row>
        <row r="39">
          <cell r="B39">
            <v>101</v>
          </cell>
          <cell r="C39" t="str">
            <v xml:space="preserve">FRANCISCO DAMILO DE                               </v>
          </cell>
        </row>
        <row r="40">
          <cell r="B40">
            <v>101</v>
          </cell>
          <cell r="C40" t="str">
            <v xml:space="preserve">FRANCISCO DAMILO DE                               </v>
          </cell>
        </row>
        <row r="41">
          <cell r="B41">
            <v>101</v>
          </cell>
          <cell r="C41" t="str">
            <v xml:space="preserve">FRANCISCO DAMILO DE                               </v>
          </cell>
        </row>
        <row r="42">
          <cell r="B42">
            <v>101</v>
          </cell>
          <cell r="C42" t="str">
            <v xml:space="preserve">FRANCISCO DAMILO DE                               </v>
          </cell>
        </row>
        <row r="43">
          <cell r="B43">
            <v>101</v>
          </cell>
          <cell r="C43" t="str">
            <v xml:space="preserve">FRANCISCO DAMILO DE                               </v>
          </cell>
        </row>
        <row r="44">
          <cell r="B44">
            <v>101</v>
          </cell>
          <cell r="C44" t="str">
            <v xml:space="preserve">FRANCISCO DAMILO DE                               </v>
          </cell>
        </row>
        <row r="45">
          <cell r="B45">
            <v>101</v>
          </cell>
          <cell r="C45" t="str">
            <v xml:space="preserve">FRANCISCO DAMILO DE                               </v>
          </cell>
        </row>
        <row r="46">
          <cell r="B46">
            <v>101</v>
          </cell>
          <cell r="C46" t="str">
            <v xml:space="preserve">FRANCISCO DAMILO DE                               </v>
          </cell>
        </row>
        <row r="47">
          <cell r="B47">
            <v>101</v>
          </cell>
          <cell r="C47" t="str">
            <v xml:space="preserve">FRANCISCO DAMILO DE                               </v>
          </cell>
        </row>
        <row r="48">
          <cell r="B48">
            <v>101</v>
          </cell>
          <cell r="C48" t="str">
            <v xml:space="preserve">FRANCISCO DAMILO DE                               </v>
          </cell>
        </row>
        <row r="49">
          <cell r="B49">
            <v>101</v>
          </cell>
          <cell r="C49" t="str">
            <v xml:space="preserve">FRANCISCO DAMILO DE                               </v>
          </cell>
        </row>
        <row r="50">
          <cell r="B50">
            <v>101</v>
          </cell>
          <cell r="C50" t="str">
            <v xml:space="preserve">FRANCISCO DAMILO DE                               </v>
          </cell>
        </row>
        <row r="51">
          <cell r="B51">
            <v>101</v>
          </cell>
          <cell r="C51" t="str">
            <v xml:space="preserve">FRANCISCO DAMILO DE                               </v>
          </cell>
        </row>
        <row r="52">
          <cell r="B52">
            <v>101</v>
          </cell>
          <cell r="C52" t="str">
            <v xml:space="preserve">FRANCISCO DAMILO DE                               </v>
          </cell>
        </row>
        <row r="53">
          <cell r="B53">
            <v>101</v>
          </cell>
          <cell r="C53" t="str">
            <v xml:space="preserve">FRANCISCO DAMILO DE                               </v>
          </cell>
        </row>
        <row r="54">
          <cell r="B54">
            <v>101</v>
          </cell>
          <cell r="C54" t="str">
            <v xml:space="preserve">FRANCISCO DAMILO DE                               </v>
          </cell>
        </row>
        <row r="55">
          <cell r="B55">
            <v>101</v>
          </cell>
          <cell r="C55" t="str">
            <v xml:space="preserve">FRANCISCO DAMILO DE                               </v>
          </cell>
        </row>
        <row r="56">
          <cell r="B56">
            <v>101</v>
          </cell>
          <cell r="C56" t="str">
            <v xml:space="preserve">FRANCISCO DAMILO DE                               </v>
          </cell>
        </row>
        <row r="57">
          <cell r="B57">
            <v>101</v>
          </cell>
          <cell r="C57" t="str">
            <v xml:space="preserve">FRANCISCO DAMILO DE                               </v>
          </cell>
        </row>
        <row r="58">
          <cell r="B58">
            <v>101</v>
          </cell>
          <cell r="C58" t="str">
            <v xml:space="preserve">FRANCISCO DAMILO DE                               </v>
          </cell>
        </row>
        <row r="59">
          <cell r="B59">
            <v>101</v>
          </cell>
          <cell r="C59" t="str">
            <v xml:space="preserve">FRANCISCO DAMILO DE                               </v>
          </cell>
        </row>
        <row r="60">
          <cell r="B60">
            <v>101</v>
          </cell>
          <cell r="C60" t="str">
            <v xml:space="preserve">FRANCISCO DAMILO DE                               </v>
          </cell>
        </row>
        <row r="61">
          <cell r="B61">
            <v>101</v>
          </cell>
          <cell r="C61" t="str">
            <v xml:space="preserve">FRANCISCO DAMILO DE                               </v>
          </cell>
        </row>
        <row r="62">
          <cell r="B62">
            <v>101</v>
          </cell>
          <cell r="C62" t="str">
            <v xml:space="preserve">FRANCISCO DAMILO DE                               </v>
          </cell>
        </row>
        <row r="63">
          <cell r="B63">
            <v>101</v>
          </cell>
          <cell r="C63" t="str">
            <v xml:space="preserve">FRANCISCO DAMILO DE                               </v>
          </cell>
        </row>
        <row r="64">
          <cell r="B64">
            <v>101</v>
          </cell>
          <cell r="C64" t="str">
            <v xml:space="preserve">FRANCISCO DAMILO DE                               </v>
          </cell>
        </row>
        <row r="65">
          <cell r="B65">
            <v>101</v>
          </cell>
          <cell r="C65" t="str">
            <v xml:space="preserve">FRANCISCO DAMILO DE                               </v>
          </cell>
        </row>
        <row r="66">
          <cell r="B66">
            <v>101</v>
          </cell>
          <cell r="C66" t="str">
            <v xml:space="preserve">FRANCISCO DAMILO DE                               </v>
          </cell>
        </row>
        <row r="67">
          <cell r="B67">
            <v>101</v>
          </cell>
          <cell r="C67" t="str">
            <v xml:space="preserve">FRANCISCO DAMILO DE                               </v>
          </cell>
        </row>
        <row r="68">
          <cell r="B68">
            <v>101</v>
          </cell>
          <cell r="C68" t="str">
            <v xml:space="preserve">FRANCISCO DAMILO DE                               </v>
          </cell>
        </row>
        <row r="69">
          <cell r="B69">
            <v>101</v>
          </cell>
          <cell r="C69" t="str">
            <v xml:space="preserve">FRANCISCO DAMILO DE                               </v>
          </cell>
        </row>
        <row r="70">
          <cell r="B70">
            <v>101</v>
          </cell>
          <cell r="C70" t="str">
            <v xml:space="preserve">FRANCISCO DAMILO DE                               </v>
          </cell>
        </row>
        <row r="71">
          <cell r="B71">
            <v>101</v>
          </cell>
          <cell r="C71" t="str">
            <v xml:space="preserve">FRANCISCO DAMILO DE                               </v>
          </cell>
        </row>
        <row r="72">
          <cell r="B72">
            <v>101</v>
          </cell>
          <cell r="C72" t="str">
            <v xml:space="preserve">FRANCISCO DAMILO DE                               </v>
          </cell>
        </row>
        <row r="73">
          <cell r="B73">
            <v>101</v>
          </cell>
          <cell r="C73" t="str">
            <v xml:space="preserve">FRANCISCO DAMILO DE                               </v>
          </cell>
        </row>
        <row r="74">
          <cell r="B74">
            <v>101</v>
          </cell>
          <cell r="C74" t="str">
            <v xml:space="preserve">FRANCISCO DAMILO DE                               </v>
          </cell>
        </row>
        <row r="75">
          <cell r="B75">
            <v>101</v>
          </cell>
          <cell r="C75" t="str">
            <v xml:space="preserve">FRANCISCO DAMILO DE                               </v>
          </cell>
        </row>
        <row r="76">
          <cell r="B76">
            <v>101</v>
          </cell>
          <cell r="C76" t="str">
            <v xml:space="preserve">FRANCISCO DAMILO DE                               </v>
          </cell>
        </row>
        <row r="77">
          <cell r="B77">
            <v>101</v>
          </cell>
          <cell r="C77" t="str">
            <v xml:space="preserve">FRANCISCO DAMILO DE                               </v>
          </cell>
        </row>
        <row r="78">
          <cell r="B78">
            <v>101</v>
          </cell>
          <cell r="C78" t="str">
            <v xml:space="preserve">FRANCISCO DAMILO DE                               </v>
          </cell>
        </row>
        <row r="79">
          <cell r="B79">
            <v>101</v>
          </cell>
          <cell r="C79" t="str">
            <v xml:space="preserve">FRANCISCO DAMILO DE                               </v>
          </cell>
        </row>
        <row r="80">
          <cell r="B80">
            <v>101</v>
          </cell>
          <cell r="C80" t="str">
            <v xml:space="preserve">FRANCISCO DAMILO DE                               </v>
          </cell>
        </row>
        <row r="81">
          <cell r="B81">
            <v>101</v>
          </cell>
          <cell r="C81" t="str">
            <v xml:space="preserve">FRANCISCO DAMILO DE                               </v>
          </cell>
        </row>
        <row r="82">
          <cell r="B82">
            <v>101</v>
          </cell>
          <cell r="C82" t="str">
            <v xml:space="preserve">FRANCISCO DAMILO DE                               </v>
          </cell>
        </row>
        <row r="83">
          <cell r="B83">
            <v>101</v>
          </cell>
          <cell r="C83" t="str">
            <v xml:space="preserve">FRANCISCO DAMILO DE                               </v>
          </cell>
        </row>
        <row r="84">
          <cell r="B84">
            <v>101</v>
          </cell>
          <cell r="C84" t="str">
            <v xml:space="preserve">FRANCISCO DAMILO DE                               </v>
          </cell>
        </row>
        <row r="85">
          <cell r="B85">
            <v>101</v>
          </cell>
          <cell r="C85" t="str">
            <v xml:space="preserve">FRANCISCO DAMILO DE                               </v>
          </cell>
        </row>
        <row r="86">
          <cell r="B86">
            <v>101</v>
          </cell>
          <cell r="C86" t="str">
            <v xml:space="preserve">FRANCISCO DAMILO DE                               </v>
          </cell>
        </row>
        <row r="87">
          <cell r="B87">
            <v>101</v>
          </cell>
          <cell r="C87" t="str">
            <v xml:space="preserve">FRANCISCO DAMILO DE                               </v>
          </cell>
        </row>
        <row r="88">
          <cell r="B88">
            <v>101</v>
          </cell>
          <cell r="C88" t="str">
            <v xml:space="preserve">FRANCISCO DAMILO DE                               </v>
          </cell>
        </row>
        <row r="89">
          <cell r="B89">
            <v>101</v>
          </cell>
          <cell r="C89" t="str">
            <v xml:space="preserve">FRANCISCO DAMILO DE                               </v>
          </cell>
        </row>
        <row r="90">
          <cell r="B90">
            <v>101</v>
          </cell>
          <cell r="C90" t="str">
            <v xml:space="preserve">FRANCISCO DAMILO DE                               </v>
          </cell>
        </row>
        <row r="91">
          <cell r="B91">
            <v>101</v>
          </cell>
          <cell r="C91" t="str">
            <v xml:space="preserve">FRANCISCO DAMILO DE                               </v>
          </cell>
        </row>
        <row r="92">
          <cell r="B92">
            <v>101</v>
          </cell>
          <cell r="C92" t="str">
            <v xml:space="preserve">FRANCISCO DAMILO DE                               </v>
          </cell>
        </row>
        <row r="93">
          <cell r="B93">
            <v>101</v>
          </cell>
          <cell r="C93" t="str">
            <v xml:space="preserve">FRANCISCO DAMILO DE                               </v>
          </cell>
        </row>
        <row r="94">
          <cell r="B94">
            <v>101</v>
          </cell>
          <cell r="C94" t="str">
            <v xml:space="preserve">FRANCISCO DAMILO DE                               </v>
          </cell>
        </row>
        <row r="95">
          <cell r="B95">
            <v>101</v>
          </cell>
          <cell r="C95" t="str">
            <v xml:space="preserve">FRANCISCO DAMILO DE                               </v>
          </cell>
        </row>
        <row r="96">
          <cell r="B96">
            <v>101</v>
          </cell>
          <cell r="C96" t="str">
            <v xml:space="preserve">FRANCISCO DAMILO DE                               </v>
          </cell>
        </row>
        <row r="97">
          <cell r="B97">
            <v>101</v>
          </cell>
          <cell r="C97" t="str">
            <v xml:space="preserve">FRANCISCO DAMILO DE                               </v>
          </cell>
        </row>
        <row r="98">
          <cell r="B98">
            <v>101</v>
          </cell>
          <cell r="C98" t="str">
            <v xml:space="preserve">FRANCISCO DAMILO DE                               </v>
          </cell>
        </row>
        <row r="99">
          <cell r="B99">
            <v>101</v>
          </cell>
          <cell r="C99" t="str">
            <v xml:space="preserve">FRANCISCO DAMILO DE                               </v>
          </cell>
        </row>
        <row r="100">
          <cell r="B100">
            <v>101</v>
          </cell>
          <cell r="C100" t="str">
            <v xml:space="preserve">FRANCISCO DAMILO DE                               </v>
          </cell>
        </row>
        <row r="101">
          <cell r="B101">
            <v>101</v>
          </cell>
          <cell r="C101" t="str">
            <v xml:space="preserve">FRANCISCO DAMILO DE                               </v>
          </cell>
        </row>
        <row r="102">
          <cell r="B102">
            <v>101</v>
          </cell>
          <cell r="C102" t="str">
            <v xml:space="preserve">FRANCISCO DAMILO DE                               </v>
          </cell>
        </row>
        <row r="103">
          <cell r="B103">
            <v>101</v>
          </cell>
          <cell r="C103" t="str">
            <v xml:space="preserve">FRANCISCO DAMILO DE                               </v>
          </cell>
        </row>
        <row r="104">
          <cell r="B104">
            <v>101</v>
          </cell>
          <cell r="C104" t="str">
            <v xml:space="preserve">FRANCISCO DAMILO DE                               </v>
          </cell>
        </row>
        <row r="105">
          <cell r="B105">
            <v>101</v>
          </cell>
          <cell r="C105" t="str">
            <v xml:space="preserve">FRANCISCO DAMILO DE                               </v>
          </cell>
        </row>
        <row r="106">
          <cell r="B106">
            <v>101</v>
          </cell>
          <cell r="C106" t="str">
            <v xml:space="preserve">FRANCISCO DAMILO DE                               </v>
          </cell>
        </row>
        <row r="107">
          <cell r="B107">
            <v>101</v>
          </cell>
          <cell r="C107" t="str">
            <v xml:space="preserve">FRANCISCO DAMILO DE                               </v>
          </cell>
        </row>
        <row r="108">
          <cell r="B108">
            <v>101</v>
          </cell>
          <cell r="C108" t="str">
            <v xml:space="preserve">FRANCISCO DAMILO DE                               </v>
          </cell>
        </row>
        <row r="109">
          <cell r="B109">
            <v>101</v>
          </cell>
          <cell r="C109" t="str">
            <v xml:space="preserve">FRANCISCO DAMILO DE                               </v>
          </cell>
        </row>
        <row r="110">
          <cell r="B110">
            <v>101</v>
          </cell>
          <cell r="C110" t="str">
            <v xml:space="preserve">FRANCISCO DAMILO DE                               </v>
          </cell>
        </row>
        <row r="111">
          <cell r="B111">
            <v>101</v>
          </cell>
          <cell r="C111" t="str">
            <v xml:space="preserve">FRANCISCO DAMILO DE                               </v>
          </cell>
        </row>
        <row r="112">
          <cell r="B112">
            <v>101</v>
          </cell>
          <cell r="C112" t="str">
            <v xml:space="preserve">FRANCISCO DAMILO DE                               </v>
          </cell>
        </row>
        <row r="113">
          <cell r="B113">
            <v>101</v>
          </cell>
          <cell r="C113" t="str">
            <v xml:space="preserve">FRANCISCO DAMILO DE                               </v>
          </cell>
        </row>
        <row r="114">
          <cell r="B114">
            <v>101</v>
          </cell>
          <cell r="C114" t="str">
            <v xml:space="preserve">FRANCISCO DAMILO DE                               </v>
          </cell>
        </row>
        <row r="115">
          <cell r="B115">
            <v>101</v>
          </cell>
          <cell r="C115" t="str">
            <v xml:space="preserve">FRANCISCO DAMILO DE                               </v>
          </cell>
        </row>
        <row r="116">
          <cell r="B116">
            <v>101</v>
          </cell>
          <cell r="C116" t="str">
            <v xml:space="preserve">FRANCISCO DAMILO DE                               </v>
          </cell>
        </row>
        <row r="117">
          <cell r="B117">
            <v>101</v>
          </cell>
          <cell r="C117" t="str">
            <v xml:space="preserve">FRANCISCO DAMILO DE                               </v>
          </cell>
        </row>
        <row r="118">
          <cell r="B118">
            <v>101</v>
          </cell>
          <cell r="C118" t="str">
            <v xml:space="preserve">FRANCISCO DAMILO DE                               </v>
          </cell>
        </row>
        <row r="119">
          <cell r="B119">
            <v>101</v>
          </cell>
          <cell r="C119" t="str">
            <v xml:space="preserve">FRANCISCO DAMILO DE                               </v>
          </cell>
        </row>
        <row r="120">
          <cell r="B120">
            <v>101</v>
          </cell>
          <cell r="C120" t="str">
            <v xml:space="preserve">FRANCISCO DAMILO DE                               </v>
          </cell>
        </row>
        <row r="121">
          <cell r="B121">
            <v>101</v>
          </cell>
          <cell r="C121" t="str">
            <v xml:space="preserve">FRANCISCO DAMILO DE                               </v>
          </cell>
        </row>
        <row r="122">
          <cell r="B122">
            <v>101</v>
          </cell>
          <cell r="C122" t="str">
            <v xml:space="preserve">FRANCISCO DAMILO DE                               </v>
          </cell>
        </row>
        <row r="123">
          <cell r="B123">
            <v>101</v>
          </cell>
          <cell r="C123" t="str">
            <v xml:space="preserve">FRANCISCO DAMILO DE                               </v>
          </cell>
        </row>
        <row r="124">
          <cell r="B124">
            <v>101</v>
          </cell>
          <cell r="C124" t="str">
            <v xml:space="preserve">FRANCISCO DAMILO DE                               </v>
          </cell>
        </row>
        <row r="125">
          <cell r="B125">
            <v>101</v>
          </cell>
          <cell r="C125" t="str">
            <v xml:space="preserve">FRANCISCO DAMILO DE                               </v>
          </cell>
        </row>
        <row r="126">
          <cell r="B126">
            <v>101</v>
          </cell>
          <cell r="C126" t="str">
            <v xml:space="preserve">FRANCISCO DAMILO DE                               </v>
          </cell>
        </row>
        <row r="127">
          <cell r="B127">
            <v>101</v>
          </cell>
          <cell r="C127" t="str">
            <v xml:space="preserve">FRANCISCO DAMILO DE                               </v>
          </cell>
        </row>
        <row r="128">
          <cell r="B128">
            <v>101</v>
          </cell>
          <cell r="C128" t="str">
            <v xml:space="preserve">FRANCISCO DAMILO DE                               </v>
          </cell>
        </row>
        <row r="129">
          <cell r="B129">
            <v>101</v>
          </cell>
          <cell r="C129" t="str">
            <v xml:space="preserve">FRANCISCO DAMILO DE                               </v>
          </cell>
        </row>
        <row r="130">
          <cell r="B130">
            <v>101</v>
          </cell>
          <cell r="C130" t="str">
            <v xml:space="preserve">FRANCISCO DAMILO DE                               </v>
          </cell>
        </row>
        <row r="131">
          <cell r="B131">
            <v>101</v>
          </cell>
          <cell r="C131" t="str">
            <v xml:space="preserve">FRANCISCO DAMILO DE                               </v>
          </cell>
        </row>
        <row r="132">
          <cell r="B132">
            <v>101</v>
          </cell>
          <cell r="C132" t="str">
            <v xml:space="preserve">FRANCISCO DAMILO DE                               </v>
          </cell>
        </row>
        <row r="133">
          <cell r="B133">
            <v>101</v>
          </cell>
          <cell r="C133" t="str">
            <v xml:space="preserve">FRANCISCO DAMILO DE                               </v>
          </cell>
        </row>
        <row r="134">
          <cell r="B134">
            <v>101</v>
          </cell>
          <cell r="C134" t="str">
            <v xml:space="preserve">FRANCISCO DAMILO DE                               </v>
          </cell>
        </row>
        <row r="135">
          <cell r="B135">
            <v>101</v>
          </cell>
          <cell r="C135" t="str">
            <v xml:space="preserve">FRANCISCO DAMILO DE                               </v>
          </cell>
        </row>
        <row r="136">
          <cell r="B136">
            <v>101</v>
          </cell>
          <cell r="C136" t="str">
            <v xml:space="preserve">FRANCISCO DAMILO DE                               </v>
          </cell>
        </row>
        <row r="137">
          <cell r="B137">
            <v>101</v>
          </cell>
          <cell r="C137" t="str">
            <v xml:space="preserve">FRANCISCO DAMILO DE                               </v>
          </cell>
        </row>
        <row r="138">
          <cell r="B138">
            <v>101</v>
          </cell>
          <cell r="C138" t="str">
            <v xml:space="preserve">FRANCISCO DAMILO DE                               </v>
          </cell>
        </row>
        <row r="139">
          <cell r="B139">
            <v>101</v>
          </cell>
          <cell r="C139" t="str">
            <v xml:space="preserve">FRANCISCO DAMILO DE                               </v>
          </cell>
        </row>
        <row r="140">
          <cell r="B140">
            <v>101</v>
          </cell>
          <cell r="C140" t="str">
            <v xml:space="preserve">FRANCISCO DAMILO DE                               </v>
          </cell>
        </row>
        <row r="141">
          <cell r="B141">
            <v>101</v>
          </cell>
          <cell r="C141" t="str">
            <v xml:space="preserve">FRANCISCO DAMILO DE                               </v>
          </cell>
        </row>
        <row r="142">
          <cell r="B142">
            <v>101</v>
          </cell>
          <cell r="C142" t="str">
            <v xml:space="preserve">FRANCISCO DAMILO DE                               </v>
          </cell>
        </row>
        <row r="143">
          <cell r="B143">
            <v>101</v>
          </cell>
          <cell r="C143" t="str">
            <v xml:space="preserve">FRANCISCO DAMILO DE                               </v>
          </cell>
        </row>
        <row r="144">
          <cell r="B144">
            <v>101</v>
          </cell>
          <cell r="C144" t="str">
            <v xml:space="preserve">FRANCISCO DAMILO DE                               </v>
          </cell>
        </row>
        <row r="145">
          <cell r="B145">
            <v>101</v>
          </cell>
          <cell r="C145" t="str">
            <v xml:space="preserve">FRANCISCO DAMILO DE                               </v>
          </cell>
        </row>
        <row r="146">
          <cell r="B146">
            <v>101</v>
          </cell>
          <cell r="C146" t="str">
            <v xml:space="preserve">FRANCISCO DAMILO DE                               </v>
          </cell>
        </row>
        <row r="147">
          <cell r="B147">
            <v>101</v>
          </cell>
          <cell r="C147" t="str">
            <v xml:space="preserve">FRANCISCO DAMILO DE                               </v>
          </cell>
        </row>
        <row r="148">
          <cell r="B148">
            <v>101</v>
          </cell>
          <cell r="C148" t="str">
            <v xml:space="preserve">FRANCISCO DAMILO DE                               </v>
          </cell>
        </row>
        <row r="149">
          <cell r="B149">
            <v>101</v>
          </cell>
          <cell r="C149" t="str">
            <v xml:space="preserve">FRANCISCO DAMILO DE                               </v>
          </cell>
        </row>
        <row r="150">
          <cell r="B150">
            <v>101</v>
          </cell>
          <cell r="C150" t="str">
            <v xml:space="preserve">FRANCISCO DAMILO DE                               </v>
          </cell>
        </row>
        <row r="151">
          <cell r="B151">
            <v>101</v>
          </cell>
          <cell r="C151" t="str">
            <v xml:space="preserve">FRANCISCO DAMILO DE                               </v>
          </cell>
        </row>
        <row r="152">
          <cell r="B152">
            <v>101</v>
          </cell>
          <cell r="C152" t="str">
            <v xml:space="preserve">FRANCISCO DAMILO DE                               </v>
          </cell>
        </row>
        <row r="153">
          <cell r="B153">
            <v>101</v>
          </cell>
          <cell r="C153" t="str">
            <v xml:space="preserve">FRANCISCO DAMILO DE                               </v>
          </cell>
        </row>
        <row r="154">
          <cell r="B154">
            <v>101</v>
          </cell>
          <cell r="C154" t="str">
            <v xml:space="preserve">FRANCISCO DAMILO DE                               </v>
          </cell>
        </row>
        <row r="155">
          <cell r="B155">
            <v>101</v>
          </cell>
          <cell r="C155" t="str">
            <v xml:space="preserve">FRANCISCO DAMILO DE                               </v>
          </cell>
        </row>
        <row r="156">
          <cell r="B156">
            <v>101</v>
          </cell>
          <cell r="C156" t="str">
            <v xml:space="preserve">FRANCISCO DAMILO DE                               </v>
          </cell>
        </row>
        <row r="157">
          <cell r="B157">
            <v>101</v>
          </cell>
          <cell r="C157" t="str">
            <v xml:space="preserve">FRANCISCO DAMILO DE                               </v>
          </cell>
        </row>
        <row r="158">
          <cell r="B158">
            <v>101</v>
          </cell>
          <cell r="C158" t="str">
            <v xml:space="preserve">FRANCISCO DAMILO DE                               </v>
          </cell>
        </row>
        <row r="159">
          <cell r="B159">
            <v>101</v>
          </cell>
          <cell r="C159" t="str">
            <v xml:space="preserve">FRANCISCO DAMILO DE                               </v>
          </cell>
        </row>
        <row r="160">
          <cell r="B160">
            <v>101</v>
          </cell>
          <cell r="C160" t="str">
            <v xml:space="preserve">FRANCISCO DAMILO DE                               </v>
          </cell>
        </row>
        <row r="161">
          <cell r="B161">
            <v>101</v>
          </cell>
          <cell r="C161" t="str">
            <v xml:space="preserve">FRANCISCO DAMILO DE                               </v>
          </cell>
        </row>
        <row r="162">
          <cell r="B162">
            <v>101</v>
          </cell>
          <cell r="C162" t="str">
            <v xml:space="preserve">FRANCISCO DAMILO DE                               </v>
          </cell>
        </row>
        <row r="163">
          <cell r="B163">
            <v>101</v>
          </cell>
          <cell r="C163" t="str">
            <v xml:space="preserve">FRANCISCO DAMILO DE                               </v>
          </cell>
        </row>
        <row r="164">
          <cell r="B164">
            <v>101</v>
          </cell>
          <cell r="C164" t="str">
            <v xml:space="preserve">FRANCISCO DAMILO DE                               </v>
          </cell>
        </row>
        <row r="165">
          <cell r="B165">
            <v>101</v>
          </cell>
          <cell r="C165" t="str">
            <v xml:space="preserve">FRANCISCO DAMILO DE                               </v>
          </cell>
        </row>
        <row r="166">
          <cell r="B166">
            <v>101</v>
          </cell>
          <cell r="C166" t="str">
            <v xml:space="preserve">FRANCISCO DAMILO DE                               </v>
          </cell>
        </row>
        <row r="167">
          <cell r="B167">
            <v>101</v>
          </cell>
          <cell r="C167" t="str">
            <v xml:space="preserve">FRANCISCO DAMILO DE                               </v>
          </cell>
        </row>
        <row r="168">
          <cell r="B168">
            <v>101</v>
          </cell>
          <cell r="C168" t="str">
            <v xml:space="preserve">FRANCISCO DAMILO DE                               </v>
          </cell>
        </row>
        <row r="169">
          <cell r="B169">
            <v>101</v>
          </cell>
          <cell r="C169" t="str">
            <v xml:space="preserve">FRANCISCO DAMILO DE                               </v>
          </cell>
        </row>
        <row r="170">
          <cell r="B170">
            <v>101</v>
          </cell>
          <cell r="C170" t="str">
            <v xml:space="preserve">FRANCISCO DAMILO DE                               </v>
          </cell>
        </row>
        <row r="171">
          <cell r="B171">
            <v>101</v>
          </cell>
          <cell r="C171" t="str">
            <v xml:space="preserve">FRANCISCO DAMILO DE                               </v>
          </cell>
        </row>
        <row r="172">
          <cell r="B172">
            <v>101</v>
          </cell>
          <cell r="C172" t="str">
            <v xml:space="preserve">FRANCISCO DAMILO DE                               </v>
          </cell>
        </row>
        <row r="173">
          <cell r="B173">
            <v>101</v>
          </cell>
          <cell r="C173" t="str">
            <v xml:space="preserve">FRANCISCO DAMILO DE                               </v>
          </cell>
        </row>
        <row r="174">
          <cell r="B174">
            <v>101</v>
          </cell>
          <cell r="C174" t="str">
            <v xml:space="preserve">FRANCISCO DAMILO DE                               </v>
          </cell>
        </row>
        <row r="175">
          <cell r="B175">
            <v>101</v>
          </cell>
          <cell r="C175" t="str">
            <v xml:space="preserve">FRANCISCO DAMILO DE                               </v>
          </cell>
        </row>
        <row r="176">
          <cell r="B176">
            <v>101</v>
          </cell>
          <cell r="C176" t="str">
            <v xml:space="preserve">FRANCISCO DAMILO DE                               </v>
          </cell>
        </row>
        <row r="177">
          <cell r="B177">
            <v>101</v>
          </cell>
          <cell r="C177" t="str">
            <v xml:space="preserve">FRANCISCO DAMILO DE                               </v>
          </cell>
        </row>
        <row r="178">
          <cell r="B178">
            <v>101</v>
          </cell>
          <cell r="C178" t="str">
            <v xml:space="preserve">FRANCISCO DAMILO DE                               </v>
          </cell>
        </row>
        <row r="179">
          <cell r="B179">
            <v>101</v>
          </cell>
          <cell r="C179" t="str">
            <v xml:space="preserve">FRANCISCO DAMILO DE                               </v>
          </cell>
        </row>
        <row r="180">
          <cell r="B180">
            <v>101</v>
          </cell>
          <cell r="C180" t="str">
            <v xml:space="preserve">FRANCISCO DAMILO DE                               </v>
          </cell>
        </row>
        <row r="181">
          <cell r="B181">
            <v>101</v>
          </cell>
          <cell r="C181" t="str">
            <v xml:space="preserve">FRANCISCO DAMILO DE                               </v>
          </cell>
        </row>
        <row r="182">
          <cell r="B182">
            <v>101</v>
          </cell>
          <cell r="C182" t="str">
            <v xml:space="preserve">FRANCISCO DAMILO DE                               </v>
          </cell>
        </row>
        <row r="183">
          <cell r="B183">
            <v>101</v>
          </cell>
          <cell r="C183" t="str">
            <v xml:space="preserve">FRANCISCO DAMILO DE                               </v>
          </cell>
        </row>
        <row r="184">
          <cell r="B184">
            <v>101</v>
          </cell>
          <cell r="C184" t="str">
            <v xml:space="preserve">FRANCISCO DAMILO DE                               </v>
          </cell>
        </row>
        <row r="185">
          <cell r="B185">
            <v>101</v>
          </cell>
          <cell r="C185" t="str">
            <v xml:space="preserve">FRANCISCO DAMILO DE                               </v>
          </cell>
        </row>
        <row r="186">
          <cell r="B186">
            <v>101</v>
          </cell>
          <cell r="C186" t="str">
            <v xml:space="preserve">FRANCISCO DAMILO DE                               </v>
          </cell>
        </row>
        <row r="187">
          <cell r="B187">
            <v>101</v>
          </cell>
          <cell r="C187" t="str">
            <v xml:space="preserve">FRANCISCO DAMILO DE                               </v>
          </cell>
        </row>
        <row r="188">
          <cell r="B188">
            <v>101</v>
          </cell>
          <cell r="C188" t="str">
            <v xml:space="preserve">FRANCISCO DAMILO DE                               </v>
          </cell>
        </row>
        <row r="189">
          <cell r="B189">
            <v>101</v>
          </cell>
          <cell r="C189" t="str">
            <v xml:space="preserve">FRANCISCO DAMILO DE                               </v>
          </cell>
        </row>
        <row r="190">
          <cell r="B190">
            <v>101</v>
          </cell>
          <cell r="C190" t="str">
            <v xml:space="preserve">FRANCISCO DAMILO DE                               </v>
          </cell>
        </row>
        <row r="191">
          <cell r="B191">
            <v>101</v>
          </cell>
          <cell r="C191" t="str">
            <v xml:space="preserve">FRANCISCO DAMILO DE                               </v>
          </cell>
        </row>
        <row r="192">
          <cell r="B192">
            <v>101</v>
          </cell>
          <cell r="C192" t="str">
            <v xml:space="preserve">FRANCISCO DAMILO DE                               </v>
          </cell>
        </row>
        <row r="193">
          <cell r="B193">
            <v>101</v>
          </cell>
          <cell r="C193" t="str">
            <v xml:space="preserve">FRANCISCO DAMILO DE                               </v>
          </cell>
        </row>
        <row r="194">
          <cell r="B194">
            <v>101</v>
          </cell>
          <cell r="C194" t="str">
            <v xml:space="preserve">FRANCISCO DAMILO DE                               </v>
          </cell>
        </row>
        <row r="195">
          <cell r="B195">
            <v>101</v>
          </cell>
          <cell r="C195" t="str">
            <v xml:space="preserve">FRANCISCO DAMILO DE                               </v>
          </cell>
        </row>
        <row r="196">
          <cell r="B196">
            <v>101</v>
          </cell>
          <cell r="C196" t="str">
            <v xml:space="preserve">FRANCISCO DAMILO DE                               </v>
          </cell>
        </row>
        <row r="197">
          <cell r="B197">
            <v>101</v>
          </cell>
          <cell r="C197" t="str">
            <v xml:space="preserve">FRANCISCO DAMILO DE                               </v>
          </cell>
        </row>
        <row r="198">
          <cell r="B198">
            <v>101</v>
          </cell>
          <cell r="C198" t="str">
            <v xml:space="preserve">FRANCISCO DAMILO DE                               </v>
          </cell>
        </row>
        <row r="199">
          <cell r="B199">
            <v>101</v>
          </cell>
          <cell r="C199" t="str">
            <v xml:space="preserve">FRANCISCO DAMILO DE                               </v>
          </cell>
        </row>
        <row r="200">
          <cell r="B200">
            <v>101</v>
          </cell>
          <cell r="C200" t="str">
            <v xml:space="preserve">FRANCISCO DAMILO DE                               </v>
          </cell>
        </row>
        <row r="201">
          <cell r="B201">
            <v>101</v>
          </cell>
          <cell r="C201" t="str">
            <v xml:space="preserve">FRANCISCO DAMILO DE                               </v>
          </cell>
        </row>
        <row r="202">
          <cell r="B202">
            <v>101</v>
          </cell>
          <cell r="C202" t="str">
            <v xml:space="preserve">FRANCISCO DAMILO DE                               </v>
          </cell>
        </row>
        <row r="203">
          <cell r="B203">
            <v>101</v>
          </cell>
          <cell r="C203" t="str">
            <v xml:space="preserve">FRANCISCO DAMILO DE                               </v>
          </cell>
        </row>
        <row r="204">
          <cell r="B204">
            <v>101</v>
          </cell>
          <cell r="C204" t="str">
            <v xml:space="preserve">FRANCISCO DAMILO DE                               </v>
          </cell>
        </row>
        <row r="205">
          <cell r="B205">
            <v>101</v>
          </cell>
          <cell r="C205" t="str">
            <v xml:space="preserve">FRANCISCO DAMILO DE                               </v>
          </cell>
        </row>
        <row r="206">
          <cell r="B206">
            <v>101</v>
          </cell>
          <cell r="C206" t="str">
            <v xml:space="preserve">FRANCISCO DAMILO DE                               </v>
          </cell>
        </row>
        <row r="207">
          <cell r="B207">
            <v>101</v>
          </cell>
          <cell r="C207" t="str">
            <v xml:space="preserve">FRANCISCO DAMILO DE                               </v>
          </cell>
        </row>
        <row r="208">
          <cell r="B208">
            <v>102</v>
          </cell>
          <cell r="C208" t="str">
            <v xml:space="preserve">FRANCISCO DAS CHAGAS                              </v>
          </cell>
        </row>
        <row r="209">
          <cell r="B209">
            <v>102</v>
          </cell>
          <cell r="C209" t="str">
            <v xml:space="preserve">FRANCISCO DAS CHAGAS                              </v>
          </cell>
        </row>
        <row r="210">
          <cell r="B210">
            <v>102</v>
          </cell>
          <cell r="C210" t="str">
            <v xml:space="preserve">FRANCISCO DAS CHAGAS                              </v>
          </cell>
        </row>
        <row r="211">
          <cell r="B211">
            <v>102</v>
          </cell>
          <cell r="C211" t="str">
            <v xml:space="preserve">FRANCISCO DAS CHAGAS                              </v>
          </cell>
        </row>
        <row r="212">
          <cell r="B212">
            <v>102</v>
          </cell>
          <cell r="C212" t="str">
            <v xml:space="preserve">FRANCISCO DAS CHAGAS                              </v>
          </cell>
        </row>
        <row r="213">
          <cell r="B213">
            <v>102</v>
          </cell>
          <cell r="C213" t="str">
            <v xml:space="preserve">FRANCISCO DAS CHAGAS                              </v>
          </cell>
        </row>
        <row r="214">
          <cell r="B214">
            <v>102</v>
          </cell>
          <cell r="C214" t="str">
            <v xml:space="preserve">FRANCISCO DAS CHAGAS                              </v>
          </cell>
        </row>
        <row r="215">
          <cell r="B215">
            <v>102</v>
          </cell>
          <cell r="C215" t="str">
            <v xml:space="preserve">FRANCISCO DAS CHAGAS                              </v>
          </cell>
        </row>
        <row r="216">
          <cell r="B216">
            <v>102</v>
          </cell>
          <cell r="C216" t="str">
            <v xml:space="preserve">FRANCISCO DAS CHAGAS                              </v>
          </cell>
        </row>
        <row r="217">
          <cell r="B217">
            <v>102</v>
          </cell>
          <cell r="C217" t="str">
            <v xml:space="preserve">FRANCISCO DAS CHAGAS                              </v>
          </cell>
        </row>
        <row r="218">
          <cell r="B218">
            <v>102</v>
          </cell>
          <cell r="C218" t="str">
            <v xml:space="preserve">FRANCISCO DAS CHAGAS                              </v>
          </cell>
        </row>
        <row r="219">
          <cell r="B219">
            <v>102</v>
          </cell>
          <cell r="C219" t="str">
            <v xml:space="preserve">FRANCISCO DAS CHAGAS                              </v>
          </cell>
        </row>
        <row r="220">
          <cell r="B220">
            <v>102</v>
          </cell>
          <cell r="C220" t="str">
            <v xml:space="preserve">FRANCISCO DAS CHAGAS                              </v>
          </cell>
        </row>
        <row r="221">
          <cell r="B221">
            <v>102</v>
          </cell>
          <cell r="C221" t="str">
            <v xml:space="preserve">FRANCISCO DAS CHAGAS                              </v>
          </cell>
        </row>
        <row r="222">
          <cell r="B222">
            <v>102</v>
          </cell>
          <cell r="C222" t="str">
            <v xml:space="preserve">FRANCISCO DAS CHAGAS                              </v>
          </cell>
        </row>
        <row r="223">
          <cell r="B223">
            <v>102</v>
          </cell>
          <cell r="C223" t="str">
            <v xml:space="preserve">FRANCISCO DAS CHAGAS                              </v>
          </cell>
        </row>
        <row r="224">
          <cell r="B224">
            <v>102</v>
          </cell>
          <cell r="C224" t="str">
            <v xml:space="preserve">FRANCISCO DAS CHAGAS                              </v>
          </cell>
        </row>
        <row r="225">
          <cell r="B225">
            <v>102</v>
          </cell>
          <cell r="C225" t="str">
            <v xml:space="preserve">FRANCISCO DAS CHAGAS                              </v>
          </cell>
        </row>
        <row r="226">
          <cell r="B226">
            <v>102</v>
          </cell>
          <cell r="C226" t="str">
            <v xml:space="preserve">FRANCISCO DAS CHAGAS                              </v>
          </cell>
        </row>
        <row r="227">
          <cell r="B227">
            <v>102</v>
          </cell>
          <cell r="C227" t="str">
            <v xml:space="preserve">FRANCISCO DAS CHAGAS                              </v>
          </cell>
        </row>
        <row r="228">
          <cell r="B228">
            <v>102</v>
          </cell>
          <cell r="C228" t="str">
            <v xml:space="preserve">FRANCISCO DAS CHAGAS                              </v>
          </cell>
        </row>
        <row r="229">
          <cell r="B229">
            <v>102</v>
          </cell>
          <cell r="C229" t="str">
            <v xml:space="preserve">FRANCISCO DAS CHAGAS                              </v>
          </cell>
        </row>
        <row r="230">
          <cell r="B230">
            <v>102</v>
          </cell>
          <cell r="C230" t="str">
            <v xml:space="preserve">FRANCISCO DAS CHAGAS                              </v>
          </cell>
        </row>
        <row r="231">
          <cell r="B231">
            <v>102</v>
          </cell>
          <cell r="C231" t="str">
            <v xml:space="preserve">FRANCISCO DAS CHAGAS                              </v>
          </cell>
        </row>
        <row r="232">
          <cell r="B232">
            <v>102</v>
          </cell>
          <cell r="C232" t="str">
            <v xml:space="preserve">FRANCISCO DAS CHAGAS                              </v>
          </cell>
        </row>
        <row r="233">
          <cell r="B233">
            <v>102</v>
          </cell>
          <cell r="C233" t="str">
            <v xml:space="preserve">FRANCISCO DAS CHAGAS                              </v>
          </cell>
        </row>
        <row r="234">
          <cell r="B234">
            <v>102</v>
          </cell>
          <cell r="C234" t="str">
            <v xml:space="preserve">FRANCISCO DAS CHAGAS                              </v>
          </cell>
        </row>
        <row r="235">
          <cell r="B235">
            <v>102</v>
          </cell>
          <cell r="C235" t="str">
            <v xml:space="preserve">FRANCISCO DAS CHAGAS                              </v>
          </cell>
        </row>
        <row r="236">
          <cell r="B236">
            <v>102</v>
          </cell>
          <cell r="C236" t="str">
            <v xml:space="preserve">FRANCISCO DAS CHAGAS                              </v>
          </cell>
        </row>
        <row r="237">
          <cell r="B237">
            <v>102</v>
          </cell>
          <cell r="C237" t="str">
            <v xml:space="preserve">FRANCISCO DAS CHAGAS                              </v>
          </cell>
        </row>
        <row r="238">
          <cell r="B238">
            <v>102</v>
          </cell>
          <cell r="C238" t="str">
            <v xml:space="preserve">FRANCISCO DAS CHAGAS                              </v>
          </cell>
        </row>
        <row r="239">
          <cell r="B239">
            <v>102</v>
          </cell>
          <cell r="C239" t="str">
            <v xml:space="preserve">FRANCISCO DAS CHAGAS                              </v>
          </cell>
        </row>
        <row r="240">
          <cell r="B240">
            <v>102</v>
          </cell>
          <cell r="C240" t="str">
            <v xml:space="preserve">FRANCISCO DAS CHAGAS                              </v>
          </cell>
        </row>
        <row r="241">
          <cell r="B241">
            <v>102</v>
          </cell>
          <cell r="C241" t="str">
            <v xml:space="preserve">FRANCISCO DAS CHAGAS                              </v>
          </cell>
        </row>
        <row r="242">
          <cell r="B242">
            <v>102</v>
          </cell>
          <cell r="C242" t="str">
            <v xml:space="preserve">FRANCISCO DAS CHAGAS                              </v>
          </cell>
        </row>
        <row r="243">
          <cell r="B243">
            <v>102</v>
          </cell>
          <cell r="C243" t="str">
            <v xml:space="preserve">FRANCISCO DAS CHAGAS                              </v>
          </cell>
        </row>
        <row r="244">
          <cell r="B244">
            <v>102</v>
          </cell>
          <cell r="C244" t="str">
            <v xml:space="preserve">FRANCISCO DAS CHAGAS                              </v>
          </cell>
        </row>
        <row r="245">
          <cell r="B245">
            <v>102</v>
          </cell>
          <cell r="C245" t="str">
            <v xml:space="preserve">FRANCISCO DAS CHAGAS                              </v>
          </cell>
        </row>
        <row r="246">
          <cell r="B246">
            <v>102</v>
          </cell>
          <cell r="C246" t="str">
            <v xml:space="preserve">FRANCISCO DAS CHAGAS                              </v>
          </cell>
        </row>
        <row r="247">
          <cell r="B247">
            <v>102</v>
          </cell>
          <cell r="C247" t="str">
            <v xml:space="preserve">FRANCISCO DAS CHAGAS                              </v>
          </cell>
        </row>
        <row r="248">
          <cell r="B248">
            <v>102</v>
          </cell>
          <cell r="C248" t="str">
            <v xml:space="preserve">FRANCISCO DAS CHAGAS                              </v>
          </cell>
        </row>
        <row r="249">
          <cell r="B249">
            <v>102</v>
          </cell>
          <cell r="C249" t="str">
            <v xml:space="preserve">FRANCISCO DAS CHAGAS                              </v>
          </cell>
        </row>
        <row r="250">
          <cell r="B250">
            <v>102</v>
          </cell>
          <cell r="C250" t="str">
            <v xml:space="preserve">FRANCISCO DAS CHAGAS                              </v>
          </cell>
        </row>
        <row r="251">
          <cell r="B251">
            <v>102</v>
          </cell>
          <cell r="C251" t="str">
            <v xml:space="preserve">FRANCISCO DAS CHAGAS                              </v>
          </cell>
        </row>
        <row r="252">
          <cell r="B252">
            <v>102</v>
          </cell>
          <cell r="C252" t="str">
            <v xml:space="preserve">FRANCISCO DAS CHAGAS                              </v>
          </cell>
        </row>
        <row r="253">
          <cell r="B253">
            <v>102</v>
          </cell>
          <cell r="C253" t="str">
            <v xml:space="preserve">FRANCISCO DAS CHAGAS                              </v>
          </cell>
        </row>
        <row r="254">
          <cell r="B254">
            <v>102</v>
          </cell>
          <cell r="C254" t="str">
            <v xml:space="preserve">FRANCISCO DAS CHAGAS                              </v>
          </cell>
        </row>
        <row r="255">
          <cell r="B255">
            <v>102</v>
          </cell>
          <cell r="C255" t="str">
            <v xml:space="preserve">FRANCISCO DAS CHAGAS                              </v>
          </cell>
        </row>
        <row r="256">
          <cell r="B256">
            <v>102</v>
          </cell>
          <cell r="C256" t="str">
            <v xml:space="preserve">FRANCISCO DAS CHAGAS                              </v>
          </cell>
        </row>
        <row r="257">
          <cell r="B257">
            <v>102</v>
          </cell>
          <cell r="C257" t="str">
            <v xml:space="preserve">FRANCISCO DAS CHAGAS                              </v>
          </cell>
        </row>
        <row r="258">
          <cell r="B258">
            <v>102</v>
          </cell>
          <cell r="C258" t="str">
            <v xml:space="preserve">FRANCISCO DAS CHAGAS                              </v>
          </cell>
        </row>
        <row r="259">
          <cell r="B259">
            <v>102</v>
          </cell>
          <cell r="C259" t="str">
            <v xml:space="preserve">FRANCISCO DAS CHAGAS                              </v>
          </cell>
        </row>
        <row r="260">
          <cell r="B260">
            <v>102</v>
          </cell>
          <cell r="C260" t="str">
            <v xml:space="preserve">FRANCISCO DAS CHAGAS                              </v>
          </cell>
        </row>
        <row r="261">
          <cell r="B261">
            <v>102</v>
          </cell>
          <cell r="C261" t="str">
            <v xml:space="preserve">FRANCISCO DAS CHAGAS                              </v>
          </cell>
        </row>
        <row r="262">
          <cell r="B262">
            <v>102</v>
          </cell>
          <cell r="C262" t="str">
            <v xml:space="preserve">FRANCISCO DAS CHAGAS                              </v>
          </cell>
        </row>
        <row r="263">
          <cell r="B263">
            <v>102</v>
          </cell>
          <cell r="C263" t="str">
            <v xml:space="preserve">FRANCISCO DAS CHAGAS                              </v>
          </cell>
        </row>
        <row r="264">
          <cell r="B264">
            <v>102</v>
          </cell>
          <cell r="C264" t="str">
            <v xml:space="preserve">FRANCISCO DAS CHAGAS                              </v>
          </cell>
        </row>
        <row r="265">
          <cell r="B265">
            <v>102</v>
          </cell>
          <cell r="C265" t="str">
            <v xml:space="preserve">FRANCISCO DAS CHAGAS                              </v>
          </cell>
        </row>
        <row r="266">
          <cell r="B266">
            <v>102</v>
          </cell>
          <cell r="C266" t="str">
            <v xml:space="preserve">FRANCISCO DAS CHAGAS                              </v>
          </cell>
        </row>
        <row r="267">
          <cell r="B267">
            <v>102</v>
          </cell>
          <cell r="C267" t="str">
            <v xml:space="preserve">FRANCISCO DAS CHAGAS                              </v>
          </cell>
        </row>
        <row r="268">
          <cell r="B268">
            <v>102</v>
          </cell>
          <cell r="C268" t="str">
            <v xml:space="preserve">FRANCISCO DAS CHAGAS                              </v>
          </cell>
        </row>
        <row r="269">
          <cell r="B269">
            <v>102</v>
          </cell>
          <cell r="C269" t="str">
            <v xml:space="preserve">FRANCISCO DAS CHAGAS                              </v>
          </cell>
        </row>
        <row r="270">
          <cell r="B270">
            <v>102</v>
          </cell>
          <cell r="C270" t="str">
            <v xml:space="preserve">FRANCISCO DAS CHAGAS                              </v>
          </cell>
        </row>
        <row r="271">
          <cell r="B271">
            <v>102</v>
          </cell>
          <cell r="C271" t="str">
            <v xml:space="preserve">FRANCISCO DAS CHAGAS                              </v>
          </cell>
        </row>
        <row r="272">
          <cell r="B272">
            <v>102</v>
          </cell>
          <cell r="C272" t="str">
            <v xml:space="preserve">FRANCISCO DAS CHAGAS                              </v>
          </cell>
        </row>
        <row r="273">
          <cell r="B273">
            <v>102</v>
          </cell>
          <cell r="C273" t="str">
            <v xml:space="preserve">FRANCISCO DAS CHAGAS                              </v>
          </cell>
        </row>
        <row r="274">
          <cell r="B274">
            <v>102</v>
          </cell>
          <cell r="C274" t="str">
            <v xml:space="preserve">FRANCISCO DAS CHAGAS                              </v>
          </cell>
        </row>
        <row r="275">
          <cell r="B275">
            <v>102</v>
          </cell>
          <cell r="C275" t="str">
            <v xml:space="preserve">FRANCISCO DAS CHAGAS                              </v>
          </cell>
        </row>
        <row r="276">
          <cell r="B276">
            <v>102</v>
          </cell>
          <cell r="C276" t="str">
            <v xml:space="preserve">FRANCISCO DAS CHAGAS                              </v>
          </cell>
        </row>
        <row r="277">
          <cell r="B277">
            <v>102</v>
          </cell>
          <cell r="C277" t="str">
            <v xml:space="preserve">FRANCISCO DAS CHAGAS                              </v>
          </cell>
        </row>
        <row r="278">
          <cell r="B278">
            <v>102</v>
          </cell>
          <cell r="C278" t="str">
            <v xml:space="preserve">FRANCISCO DAS CHAGAS                              </v>
          </cell>
        </row>
        <row r="279">
          <cell r="B279">
            <v>102</v>
          </cell>
          <cell r="C279" t="str">
            <v xml:space="preserve">FRANCISCO DAS CHAGAS                              </v>
          </cell>
        </row>
        <row r="280">
          <cell r="B280">
            <v>102</v>
          </cell>
          <cell r="C280" t="str">
            <v xml:space="preserve">FRANCISCO DAS CHAGAS                              </v>
          </cell>
        </row>
        <row r="281">
          <cell r="B281">
            <v>102</v>
          </cell>
          <cell r="C281" t="str">
            <v xml:space="preserve">FRANCISCO DAS CHAGAS                              </v>
          </cell>
        </row>
        <row r="282">
          <cell r="B282">
            <v>102</v>
          </cell>
          <cell r="C282" t="str">
            <v xml:space="preserve">FRANCISCO DAS CHAGAS                              </v>
          </cell>
        </row>
        <row r="283">
          <cell r="B283">
            <v>102</v>
          </cell>
          <cell r="C283" t="str">
            <v xml:space="preserve">FRANCISCO DAS CHAGAS                              </v>
          </cell>
        </row>
        <row r="284">
          <cell r="B284">
            <v>102</v>
          </cell>
          <cell r="C284" t="str">
            <v xml:space="preserve">FRANCISCO DAS CHAGAS                              </v>
          </cell>
        </row>
        <row r="285">
          <cell r="B285">
            <v>102</v>
          </cell>
          <cell r="C285" t="str">
            <v xml:space="preserve">FRANCISCO DAS CHAGAS                              </v>
          </cell>
        </row>
        <row r="286">
          <cell r="B286">
            <v>102</v>
          </cell>
          <cell r="C286" t="str">
            <v xml:space="preserve">FRANCISCO DAS CHAGAS                              </v>
          </cell>
        </row>
        <row r="287">
          <cell r="B287">
            <v>102</v>
          </cell>
          <cell r="C287" t="str">
            <v xml:space="preserve">FRANCISCO DAS CHAGAS                              </v>
          </cell>
        </row>
        <row r="288">
          <cell r="B288">
            <v>102</v>
          </cell>
          <cell r="C288" t="str">
            <v xml:space="preserve">FRANCISCO DAS CHAGAS                              </v>
          </cell>
        </row>
        <row r="289">
          <cell r="B289">
            <v>102</v>
          </cell>
          <cell r="C289" t="str">
            <v xml:space="preserve">FRANCISCO DAS CHAGAS                              </v>
          </cell>
        </row>
        <row r="290">
          <cell r="B290">
            <v>102</v>
          </cell>
          <cell r="C290" t="str">
            <v xml:space="preserve">FRANCISCO DAS CHAGAS                              </v>
          </cell>
        </row>
        <row r="291">
          <cell r="B291">
            <v>102</v>
          </cell>
          <cell r="C291" t="str">
            <v xml:space="preserve">FRANCISCO DAS CHAGAS                              </v>
          </cell>
        </row>
        <row r="292">
          <cell r="B292">
            <v>102</v>
          </cell>
          <cell r="C292" t="str">
            <v xml:space="preserve">FRANCISCO DAS CHAGAS                              </v>
          </cell>
        </row>
        <row r="293">
          <cell r="B293">
            <v>102</v>
          </cell>
          <cell r="C293" t="str">
            <v xml:space="preserve">FRANCISCO DAS CHAGAS                              </v>
          </cell>
        </row>
        <row r="294">
          <cell r="B294">
            <v>102</v>
          </cell>
          <cell r="C294" t="str">
            <v xml:space="preserve">FRANCISCO DAS CHAGAS                              </v>
          </cell>
        </row>
        <row r="295">
          <cell r="B295">
            <v>102</v>
          </cell>
          <cell r="C295" t="str">
            <v xml:space="preserve">FRANCISCO DAS CHAGAS                              </v>
          </cell>
        </row>
        <row r="296">
          <cell r="B296">
            <v>102</v>
          </cell>
          <cell r="C296" t="str">
            <v xml:space="preserve">FRANCISCO DAS CHAGAS                              </v>
          </cell>
        </row>
        <row r="297">
          <cell r="B297">
            <v>102</v>
          </cell>
          <cell r="C297" t="str">
            <v xml:space="preserve">FRANCISCO DAS CHAGAS                              </v>
          </cell>
        </row>
        <row r="298">
          <cell r="B298">
            <v>102</v>
          </cell>
          <cell r="C298" t="str">
            <v xml:space="preserve">FRANCISCO DAS CHAGAS                              </v>
          </cell>
        </row>
        <row r="299">
          <cell r="B299">
            <v>102</v>
          </cell>
          <cell r="C299" t="str">
            <v xml:space="preserve">FRANCISCO DAS CHAGAS                              </v>
          </cell>
        </row>
        <row r="300">
          <cell r="B300">
            <v>102</v>
          </cell>
          <cell r="C300" t="str">
            <v xml:space="preserve">FRANCISCO DAS CHAGAS                              </v>
          </cell>
        </row>
        <row r="301">
          <cell r="B301">
            <v>102</v>
          </cell>
          <cell r="C301" t="str">
            <v xml:space="preserve">FRANCISCO DAS CHAGAS                              </v>
          </cell>
        </row>
        <row r="302">
          <cell r="B302">
            <v>102</v>
          </cell>
          <cell r="C302" t="str">
            <v xml:space="preserve">FRANCISCO DAS CHAGAS                              </v>
          </cell>
        </row>
        <row r="303">
          <cell r="B303">
            <v>102</v>
          </cell>
          <cell r="C303" t="str">
            <v xml:space="preserve">FRANCISCO DAS CHAGAS                              </v>
          </cell>
        </row>
        <row r="304">
          <cell r="B304">
            <v>102</v>
          </cell>
          <cell r="C304" t="str">
            <v xml:space="preserve">FRANCISCO DAS CHAGAS                              </v>
          </cell>
        </row>
        <row r="305">
          <cell r="B305">
            <v>102</v>
          </cell>
          <cell r="C305" t="str">
            <v xml:space="preserve">FRANCISCO DAS CHAGAS                              </v>
          </cell>
        </row>
        <row r="306">
          <cell r="B306">
            <v>102</v>
          </cell>
          <cell r="C306" t="str">
            <v xml:space="preserve">FRANCISCO DAS CHAGAS                              </v>
          </cell>
        </row>
        <row r="307">
          <cell r="B307">
            <v>102</v>
          </cell>
          <cell r="C307" t="str">
            <v xml:space="preserve">FRANCISCO DAS CHAGAS                              </v>
          </cell>
        </row>
        <row r="308">
          <cell r="B308">
            <v>102</v>
          </cell>
          <cell r="C308" t="str">
            <v xml:space="preserve">FRANCISCO DAS CHAGAS                              </v>
          </cell>
        </row>
        <row r="309">
          <cell r="B309">
            <v>102</v>
          </cell>
          <cell r="C309" t="str">
            <v xml:space="preserve">FRANCISCO DAS CHAGAS                              </v>
          </cell>
        </row>
        <row r="310">
          <cell r="B310">
            <v>102</v>
          </cell>
          <cell r="C310" t="str">
            <v xml:space="preserve">FRANCISCO DAS CHAGAS                              </v>
          </cell>
        </row>
        <row r="311">
          <cell r="B311">
            <v>102</v>
          </cell>
          <cell r="C311" t="str">
            <v xml:space="preserve">FRANCISCO DAS CHAGAS                              </v>
          </cell>
        </row>
        <row r="312">
          <cell r="B312">
            <v>102</v>
          </cell>
          <cell r="C312" t="str">
            <v xml:space="preserve">FRANCISCO DAS CHAGAS                              </v>
          </cell>
        </row>
        <row r="313">
          <cell r="B313">
            <v>102</v>
          </cell>
          <cell r="C313" t="str">
            <v xml:space="preserve">FRANCISCO DAS CHAGAS                              </v>
          </cell>
        </row>
        <row r="314">
          <cell r="B314">
            <v>102</v>
          </cell>
          <cell r="C314" t="str">
            <v xml:space="preserve">FRANCISCO DAS CHAGAS                              </v>
          </cell>
        </row>
        <row r="315">
          <cell r="B315">
            <v>102</v>
          </cell>
          <cell r="C315" t="str">
            <v xml:space="preserve">FRANCISCO DAS CHAGAS                              </v>
          </cell>
        </row>
        <row r="316">
          <cell r="B316">
            <v>102</v>
          </cell>
          <cell r="C316" t="str">
            <v xml:space="preserve">FRANCISCO DAS CHAGAS                              </v>
          </cell>
        </row>
        <row r="317">
          <cell r="B317">
            <v>102</v>
          </cell>
          <cell r="C317" t="str">
            <v xml:space="preserve">FRANCISCO DAS CHAGAS                              </v>
          </cell>
        </row>
        <row r="318">
          <cell r="B318">
            <v>102</v>
          </cell>
          <cell r="C318" t="str">
            <v xml:space="preserve">FRANCISCO DAS CHAGAS                              </v>
          </cell>
        </row>
        <row r="319">
          <cell r="B319">
            <v>102</v>
          </cell>
          <cell r="C319" t="str">
            <v xml:space="preserve">FRANCISCO DAS CHAGAS                              </v>
          </cell>
        </row>
        <row r="320">
          <cell r="B320">
            <v>102</v>
          </cell>
          <cell r="C320" t="str">
            <v xml:space="preserve">FRANCISCO DAS CHAGAS                              </v>
          </cell>
        </row>
        <row r="321">
          <cell r="B321">
            <v>102</v>
          </cell>
          <cell r="C321" t="str">
            <v xml:space="preserve">FRANCISCO DAS CHAGAS                              </v>
          </cell>
        </row>
        <row r="322">
          <cell r="B322">
            <v>102</v>
          </cell>
          <cell r="C322" t="str">
            <v xml:space="preserve">FRANCISCO DAS CHAGAS                              </v>
          </cell>
        </row>
        <row r="323">
          <cell r="B323">
            <v>102</v>
          </cell>
          <cell r="C323" t="str">
            <v xml:space="preserve">FRANCISCO DAS CHAGAS                              </v>
          </cell>
        </row>
        <row r="324">
          <cell r="B324">
            <v>102</v>
          </cell>
          <cell r="C324" t="str">
            <v xml:space="preserve">FRANCISCO DAS CHAGAS                              </v>
          </cell>
        </row>
        <row r="325">
          <cell r="B325">
            <v>102</v>
          </cell>
          <cell r="C325" t="str">
            <v xml:space="preserve">FRANCISCO DAS CHAGAS                              </v>
          </cell>
        </row>
        <row r="326">
          <cell r="B326">
            <v>102</v>
          </cell>
          <cell r="C326" t="str">
            <v xml:space="preserve">FRANCISCO DAS CHAGAS                              </v>
          </cell>
        </row>
        <row r="327">
          <cell r="B327">
            <v>102</v>
          </cell>
          <cell r="C327" t="str">
            <v xml:space="preserve">FRANCISCO DAS CHAGAS                              </v>
          </cell>
        </row>
        <row r="328">
          <cell r="B328">
            <v>102</v>
          </cell>
          <cell r="C328" t="str">
            <v xml:space="preserve">FRANCISCO DAS CHAGAS                              </v>
          </cell>
        </row>
        <row r="329">
          <cell r="B329">
            <v>102</v>
          </cell>
          <cell r="C329" t="str">
            <v xml:space="preserve">FRANCISCO DAS CHAGAS                              </v>
          </cell>
        </row>
        <row r="330">
          <cell r="B330">
            <v>102</v>
          </cell>
          <cell r="C330" t="str">
            <v xml:space="preserve">FRANCISCO DAS CHAGAS                              </v>
          </cell>
        </row>
        <row r="331">
          <cell r="B331">
            <v>102</v>
          </cell>
          <cell r="C331" t="str">
            <v xml:space="preserve">FRANCISCO DAS CHAGAS                              </v>
          </cell>
        </row>
        <row r="332">
          <cell r="B332">
            <v>102</v>
          </cell>
          <cell r="C332" t="str">
            <v xml:space="preserve">FRANCISCO DAS CHAGAS                              </v>
          </cell>
        </row>
        <row r="333">
          <cell r="B333">
            <v>102</v>
          </cell>
          <cell r="C333" t="str">
            <v xml:space="preserve">FRANCISCO DAS CHAGAS                              </v>
          </cell>
        </row>
        <row r="334">
          <cell r="B334">
            <v>102</v>
          </cell>
          <cell r="C334" t="str">
            <v xml:space="preserve">FRANCISCO DAS CHAGAS                              </v>
          </cell>
        </row>
        <row r="335">
          <cell r="B335">
            <v>102</v>
          </cell>
          <cell r="C335" t="str">
            <v xml:space="preserve">FRANCISCO DAS CHAGAS                              </v>
          </cell>
        </row>
        <row r="336">
          <cell r="B336">
            <v>102</v>
          </cell>
          <cell r="C336" t="str">
            <v xml:space="preserve">FRANCISCO DAS CHAGAS                              </v>
          </cell>
        </row>
        <row r="337">
          <cell r="B337">
            <v>102</v>
          </cell>
          <cell r="C337" t="str">
            <v xml:space="preserve">FRANCISCO DAS CHAGAS                              </v>
          </cell>
        </row>
        <row r="338">
          <cell r="B338">
            <v>102</v>
          </cell>
          <cell r="C338" t="str">
            <v xml:space="preserve">FRANCISCO DAS CHAGAS                              </v>
          </cell>
        </row>
        <row r="339">
          <cell r="B339">
            <v>102</v>
          </cell>
          <cell r="C339" t="str">
            <v xml:space="preserve">FRANCISCO DAS CHAGAS                              </v>
          </cell>
        </row>
        <row r="340">
          <cell r="B340">
            <v>102</v>
          </cell>
          <cell r="C340" t="str">
            <v xml:space="preserve">FRANCISCO DAS CHAGAS                              </v>
          </cell>
        </row>
        <row r="341">
          <cell r="B341">
            <v>102</v>
          </cell>
          <cell r="C341" t="str">
            <v xml:space="preserve">FRANCISCO DAS CHAGAS                              </v>
          </cell>
        </row>
        <row r="342">
          <cell r="B342">
            <v>102</v>
          </cell>
          <cell r="C342" t="str">
            <v xml:space="preserve">FRANCISCO DAS CHAGAS                              </v>
          </cell>
        </row>
        <row r="343">
          <cell r="B343">
            <v>102</v>
          </cell>
          <cell r="C343" t="str">
            <v xml:space="preserve">FRANCISCO DAS CHAGAS                              </v>
          </cell>
        </row>
        <row r="344">
          <cell r="B344">
            <v>102</v>
          </cell>
          <cell r="C344" t="str">
            <v xml:space="preserve">FRANCISCO DAS CHAGAS                              </v>
          </cell>
        </row>
        <row r="345">
          <cell r="B345">
            <v>102</v>
          </cell>
          <cell r="C345" t="str">
            <v xml:space="preserve">FRANCISCO DAS CHAGAS                              </v>
          </cell>
        </row>
        <row r="346">
          <cell r="B346">
            <v>102</v>
          </cell>
          <cell r="C346" t="str">
            <v xml:space="preserve">FRANCISCO DAS CHAGAS                              </v>
          </cell>
        </row>
        <row r="347">
          <cell r="B347">
            <v>102</v>
          </cell>
          <cell r="C347" t="str">
            <v xml:space="preserve">FRANCISCO DAS CHAGAS                              </v>
          </cell>
        </row>
        <row r="348">
          <cell r="B348">
            <v>102</v>
          </cell>
          <cell r="C348" t="str">
            <v xml:space="preserve">FRANCISCO DAS CHAGAS                              </v>
          </cell>
        </row>
        <row r="349">
          <cell r="B349">
            <v>102</v>
          </cell>
          <cell r="C349" t="str">
            <v xml:space="preserve">FRANCISCO DAS CHAGAS                              </v>
          </cell>
        </row>
        <row r="350">
          <cell r="B350">
            <v>102</v>
          </cell>
          <cell r="C350" t="str">
            <v xml:space="preserve">FRANCISCO DAS CHAGAS                              </v>
          </cell>
        </row>
        <row r="351">
          <cell r="B351">
            <v>102</v>
          </cell>
          <cell r="C351" t="str">
            <v xml:space="preserve">FRANCISCO DAS CHAGAS                              </v>
          </cell>
        </row>
        <row r="352">
          <cell r="B352">
            <v>102</v>
          </cell>
          <cell r="C352" t="str">
            <v xml:space="preserve">FRANCISCO DAS CHAGAS                              </v>
          </cell>
        </row>
        <row r="353">
          <cell r="B353">
            <v>102</v>
          </cell>
          <cell r="C353" t="str">
            <v xml:space="preserve">FRANCISCO DAS CHAGAS                              </v>
          </cell>
        </row>
        <row r="354">
          <cell r="B354">
            <v>102</v>
          </cell>
          <cell r="C354" t="str">
            <v xml:space="preserve">FRANCISCO DAS CHAGAS                              </v>
          </cell>
        </row>
        <row r="355">
          <cell r="B355">
            <v>102</v>
          </cell>
          <cell r="C355" t="str">
            <v xml:space="preserve">FRANCISCO DAS CHAGAS                              </v>
          </cell>
        </row>
        <row r="356">
          <cell r="B356">
            <v>102</v>
          </cell>
          <cell r="C356" t="str">
            <v xml:space="preserve">FRANCISCO DAS CHAGAS                              </v>
          </cell>
        </row>
        <row r="357">
          <cell r="B357">
            <v>102</v>
          </cell>
          <cell r="C357" t="str">
            <v xml:space="preserve">FRANCISCO DAS CHAGAS                              </v>
          </cell>
        </row>
        <row r="358">
          <cell r="B358">
            <v>102</v>
          </cell>
          <cell r="C358" t="str">
            <v xml:space="preserve">FRANCISCO DAS CHAGAS                              </v>
          </cell>
        </row>
        <row r="359">
          <cell r="B359">
            <v>102</v>
          </cell>
          <cell r="C359" t="str">
            <v xml:space="preserve">FRANCISCO DAS CHAGAS                              </v>
          </cell>
        </row>
        <row r="360">
          <cell r="B360">
            <v>102</v>
          </cell>
          <cell r="C360" t="str">
            <v xml:space="preserve">FRANCISCO DAS CHAGAS                              </v>
          </cell>
        </row>
        <row r="361">
          <cell r="B361">
            <v>102</v>
          </cell>
          <cell r="C361" t="str">
            <v xml:space="preserve">FRANCISCO DAS CHAGAS                              </v>
          </cell>
        </row>
        <row r="362">
          <cell r="B362">
            <v>102</v>
          </cell>
          <cell r="C362" t="str">
            <v xml:space="preserve">FRANCISCO DAS CHAGAS                              </v>
          </cell>
        </row>
        <row r="363">
          <cell r="B363">
            <v>102</v>
          </cell>
          <cell r="C363" t="str">
            <v xml:space="preserve">FRANCISCO DAS CHAGAS                              </v>
          </cell>
        </row>
        <row r="364">
          <cell r="B364">
            <v>102</v>
          </cell>
          <cell r="C364" t="str">
            <v xml:space="preserve">FRANCISCO DAS CHAGAS                              </v>
          </cell>
        </row>
        <row r="365">
          <cell r="B365">
            <v>102</v>
          </cell>
          <cell r="C365" t="str">
            <v xml:space="preserve">FRANCISCO DAS CHAGAS                              </v>
          </cell>
        </row>
        <row r="366">
          <cell r="B366">
            <v>102</v>
          </cell>
          <cell r="C366" t="str">
            <v xml:space="preserve">FRANCISCO DAS CHAGAS                              </v>
          </cell>
        </row>
        <row r="367">
          <cell r="B367">
            <v>102</v>
          </cell>
          <cell r="C367" t="str">
            <v xml:space="preserve">FRANCISCO DAS CHAGAS                              </v>
          </cell>
        </row>
        <row r="368">
          <cell r="B368">
            <v>102</v>
          </cell>
          <cell r="C368" t="str">
            <v xml:space="preserve">FRANCISCO DAS CHAGAS                              </v>
          </cell>
        </row>
        <row r="369">
          <cell r="B369">
            <v>102</v>
          </cell>
          <cell r="C369" t="str">
            <v xml:space="preserve">FRANCISCO DAS CHAGAS                              </v>
          </cell>
        </row>
        <row r="370">
          <cell r="B370">
            <v>102</v>
          </cell>
          <cell r="C370" t="str">
            <v xml:space="preserve">FRANCISCO DAS CHAGAS                              </v>
          </cell>
        </row>
        <row r="371">
          <cell r="B371">
            <v>103</v>
          </cell>
          <cell r="C371" t="str">
            <v xml:space="preserve">ANDRE LUIZ MEDEIROS                               </v>
          </cell>
        </row>
        <row r="372">
          <cell r="B372">
            <v>103</v>
          </cell>
          <cell r="C372" t="str">
            <v xml:space="preserve">ANDRE LUIZ MEDEIROS                               </v>
          </cell>
        </row>
        <row r="373">
          <cell r="B373">
            <v>103</v>
          </cell>
          <cell r="C373" t="str">
            <v xml:space="preserve">ANDRE LUIZ MEDEIROS                               </v>
          </cell>
        </row>
        <row r="374">
          <cell r="B374">
            <v>103</v>
          </cell>
          <cell r="C374" t="str">
            <v xml:space="preserve">ANDRE LUIZ MEDEIROS                               </v>
          </cell>
        </row>
        <row r="375">
          <cell r="B375">
            <v>103</v>
          </cell>
          <cell r="C375" t="str">
            <v xml:space="preserve">ANDRE LUIZ MEDEIROS                               </v>
          </cell>
        </row>
        <row r="376">
          <cell r="B376">
            <v>103</v>
          </cell>
          <cell r="C376" t="str">
            <v xml:space="preserve">ANDRE LUIZ MEDEIROS                               </v>
          </cell>
        </row>
        <row r="377">
          <cell r="B377">
            <v>103</v>
          </cell>
          <cell r="C377" t="str">
            <v xml:space="preserve">ANDRE LUIZ MEDEIROS                               </v>
          </cell>
        </row>
        <row r="378">
          <cell r="B378">
            <v>103</v>
          </cell>
          <cell r="C378" t="str">
            <v xml:space="preserve">ANDRE LUIZ MEDEIROS                               </v>
          </cell>
        </row>
        <row r="379">
          <cell r="B379">
            <v>103</v>
          </cell>
          <cell r="C379" t="str">
            <v xml:space="preserve">ANDRE LUIZ MEDEIROS                               </v>
          </cell>
        </row>
        <row r="380">
          <cell r="B380">
            <v>103</v>
          </cell>
          <cell r="C380" t="str">
            <v xml:space="preserve">ANDRE LUIZ MEDEIROS                               </v>
          </cell>
        </row>
        <row r="381">
          <cell r="B381">
            <v>103</v>
          </cell>
          <cell r="C381" t="str">
            <v xml:space="preserve">ANDRE LUIZ MEDEIROS                               </v>
          </cell>
        </row>
        <row r="382">
          <cell r="B382">
            <v>103</v>
          </cell>
          <cell r="C382" t="str">
            <v xml:space="preserve">ANDRE LUIZ MEDEIROS                               </v>
          </cell>
        </row>
        <row r="383">
          <cell r="B383">
            <v>103</v>
          </cell>
          <cell r="C383" t="str">
            <v xml:space="preserve">ANDRE LUIZ MEDEIROS                               </v>
          </cell>
        </row>
        <row r="384">
          <cell r="B384">
            <v>103</v>
          </cell>
          <cell r="C384" t="str">
            <v xml:space="preserve">ANDRE LUIZ MEDEIROS                               </v>
          </cell>
        </row>
        <row r="385">
          <cell r="B385">
            <v>103</v>
          </cell>
          <cell r="C385" t="str">
            <v xml:space="preserve">ANDRE LUIZ MEDEIROS                               </v>
          </cell>
        </row>
        <row r="386">
          <cell r="B386">
            <v>103</v>
          </cell>
          <cell r="C386" t="str">
            <v xml:space="preserve">ANDRE LUIZ MEDEIROS                               </v>
          </cell>
        </row>
        <row r="387">
          <cell r="B387">
            <v>103</v>
          </cell>
          <cell r="C387" t="str">
            <v xml:space="preserve">ANDRE LUIZ MEDEIROS                               </v>
          </cell>
        </row>
        <row r="388">
          <cell r="B388">
            <v>103</v>
          </cell>
          <cell r="C388" t="str">
            <v xml:space="preserve">ANDRE LUIZ MEDEIROS                               </v>
          </cell>
        </row>
        <row r="389">
          <cell r="B389">
            <v>103</v>
          </cell>
          <cell r="C389" t="str">
            <v xml:space="preserve">ANDRE LUIZ MEDEIROS                               </v>
          </cell>
        </row>
        <row r="390">
          <cell r="B390">
            <v>103</v>
          </cell>
          <cell r="C390" t="str">
            <v xml:space="preserve">ANDRE LUIZ MEDEIROS                               </v>
          </cell>
        </row>
        <row r="391">
          <cell r="B391">
            <v>103</v>
          </cell>
          <cell r="C391" t="str">
            <v xml:space="preserve">ANDRE LUIZ MEDEIROS                               </v>
          </cell>
        </row>
        <row r="392">
          <cell r="B392">
            <v>103</v>
          </cell>
          <cell r="C392" t="str">
            <v xml:space="preserve">ANDRE LUIZ MEDEIROS                               </v>
          </cell>
        </row>
        <row r="393">
          <cell r="B393">
            <v>103</v>
          </cell>
          <cell r="C393" t="str">
            <v xml:space="preserve">ANDRE LUIZ MEDEIROS                               </v>
          </cell>
        </row>
        <row r="394">
          <cell r="B394">
            <v>103</v>
          </cell>
          <cell r="C394" t="str">
            <v xml:space="preserve">ANDRE LUIZ MEDEIROS                               </v>
          </cell>
        </row>
        <row r="395">
          <cell r="B395">
            <v>103</v>
          </cell>
          <cell r="C395" t="str">
            <v xml:space="preserve">ANDRE LUIZ MEDEIROS                               </v>
          </cell>
        </row>
        <row r="396">
          <cell r="B396">
            <v>103</v>
          </cell>
          <cell r="C396" t="str">
            <v xml:space="preserve">ANDRE LUIZ MEDEIROS                               </v>
          </cell>
        </row>
        <row r="397">
          <cell r="B397">
            <v>103</v>
          </cell>
          <cell r="C397" t="str">
            <v xml:space="preserve">ANDRE LUIZ MEDEIROS                               </v>
          </cell>
        </row>
        <row r="398">
          <cell r="B398">
            <v>103</v>
          </cell>
          <cell r="C398" t="str">
            <v xml:space="preserve">ANDRE LUIZ MEDEIROS                               </v>
          </cell>
        </row>
        <row r="399">
          <cell r="B399">
            <v>103</v>
          </cell>
          <cell r="C399" t="str">
            <v xml:space="preserve">ANDRE LUIZ MEDEIROS                               </v>
          </cell>
        </row>
        <row r="400">
          <cell r="B400">
            <v>103</v>
          </cell>
          <cell r="C400" t="str">
            <v xml:space="preserve">ANDRE LUIZ MEDEIROS                               </v>
          </cell>
        </row>
        <row r="401">
          <cell r="B401">
            <v>103</v>
          </cell>
          <cell r="C401" t="str">
            <v xml:space="preserve">ANDRE LUIZ MEDEIROS                               </v>
          </cell>
        </row>
        <row r="402">
          <cell r="B402">
            <v>103</v>
          </cell>
          <cell r="C402" t="str">
            <v xml:space="preserve">ANDRE LUIZ MEDEIROS                               </v>
          </cell>
        </row>
        <row r="403">
          <cell r="B403">
            <v>103</v>
          </cell>
          <cell r="C403" t="str">
            <v xml:space="preserve">ANDRE LUIZ MEDEIROS                               </v>
          </cell>
        </row>
        <row r="404">
          <cell r="B404">
            <v>103</v>
          </cell>
          <cell r="C404" t="str">
            <v xml:space="preserve">ANDRE LUIZ MEDEIROS                               </v>
          </cell>
        </row>
        <row r="405">
          <cell r="B405">
            <v>103</v>
          </cell>
          <cell r="C405" t="str">
            <v xml:space="preserve">ANDRE LUIZ MEDEIROS                               </v>
          </cell>
        </row>
        <row r="406">
          <cell r="B406">
            <v>103</v>
          </cell>
          <cell r="C406" t="str">
            <v xml:space="preserve">ANDRE LUIZ MEDEIROS                               </v>
          </cell>
        </row>
        <row r="407">
          <cell r="B407">
            <v>103</v>
          </cell>
          <cell r="C407" t="str">
            <v xml:space="preserve">ANDRE LUIZ MEDEIROS                               </v>
          </cell>
        </row>
        <row r="408">
          <cell r="B408">
            <v>103</v>
          </cell>
          <cell r="C408" t="str">
            <v xml:space="preserve">ANDRE LUIZ MEDEIROS                               </v>
          </cell>
        </row>
        <row r="409">
          <cell r="B409">
            <v>103</v>
          </cell>
          <cell r="C409" t="str">
            <v xml:space="preserve">ANDRE LUIZ MEDEIROS                               </v>
          </cell>
        </row>
        <row r="410">
          <cell r="B410">
            <v>103</v>
          </cell>
          <cell r="C410" t="str">
            <v xml:space="preserve">ANDRE LUIZ MEDEIROS                               </v>
          </cell>
        </row>
        <row r="411">
          <cell r="B411">
            <v>103</v>
          </cell>
          <cell r="C411" t="str">
            <v xml:space="preserve">ANDRE LUIZ MEDEIROS                               </v>
          </cell>
        </row>
        <row r="412">
          <cell r="B412">
            <v>103</v>
          </cell>
          <cell r="C412" t="str">
            <v xml:space="preserve">ANDRE LUIZ MEDEIROS                               </v>
          </cell>
        </row>
        <row r="413">
          <cell r="B413">
            <v>103</v>
          </cell>
          <cell r="C413" t="str">
            <v xml:space="preserve">ANDRE LUIZ MEDEIROS                               </v>
          </cell>
        </row>
        <row r="414">
          <cell r="B414">
            <v>103</v>
          </cell>
          <cell r="C414" t="str">
            <v xml:space="preserve">ANDRE LUIZ MEDEIROS                               </v>
          </cell>
        </row>
        <row r="415">
          <cell r="B415">
            <v>103</v>
          </cell>
          <cell r="C415" t="str">
            <v xml:space="preserve">ANDRE LUIZ MEDEIROS                               </v>
          </cell>
        </row>
        <row r="416">
          <cell r="B416">
            <v>103</v>
          </cell>
          <cell r="C416" t="str">
            <v xml:space="preserve">ANDRE LUIZ MEDEIROS                               </v>
          </cell>
        </row>
        <row r="417">
          <cell r="B417">
            <v>103</v>
          </cell>
          <cell r="C417" t="str">
            <v xml:space="preserve">ANDRE LUIZ MEDEIROS                               </v>
          </cell>
        </row>
        <row r="418">
          <cell r="B418">
            <v>103</v>
          </cell>
          <cell r="C418" t="str">
            <v xml:space="preserve">ANDRE LUIZ MEDEIROS                               </v>
          </cell>
        </row>
        <row r="419">
          <cell r="B419">
            <v>103</v>
          </cell>
          <cell r="C419" t="str">
            <v xml:space="preserve">ANDRE LUIZ MEDEIROS                               </v>
          </cell>
        </row>
        <row r="420">
          <cell r="B420">
            <v>103</v>
          </cell>
          <cell r="C420" t="str">
            <v xml:space="preserve">ANDRE LUIZ MEDEIROS                               </v>
          </cell>
        </row>
        <row r="421">
          <cell r="B421">
            <v>103</v>
          </cell>
          <cell r="C421" t="str">
            <v xml:space="preserve">ANDRE LUIZ MEDEIROS                               </v>
          </cell>
        </row>
        <row r="422">
          <cell r="B422">
            <v>103</v>
          </cell>
          <cell r="C422" t="str">
            <v xml:space="preserve">ANDRE LUIZ MEDEIROS                               </v>
          </cell>
        </row>
        <row r="423">
          <cell r="B423">
            <v>103</v>
          </cell>
          <cell r="C423" t="str">
            <v xml:space="preserve">ANDRE LUIZ MEDEIROS                               </v>
          </cell>
        </row>
        <row r="424">
          <cell r="B424">
            <v>103</v>
          </cell>
          <cell r="C424" t="str">
            <v xml:space="preserve">ANDRE LUIZ MEDEIROS                               </v>
          </cell>
        </row>
        <row r="425">
          <cell r="B425">
            <v>103</v>
          </cell>
          <cell r="C425" t="str">
            <v xml:space="preserve">ANDRE LUIZ MEDEIROS                               </v>
          </cell>
        </row>
        <row r="426">
          <cell r="B426">
            <v>103</v>
          </cell>
          <cell r="C426" t="str">
            <v xml:space="preserve">ANDRE LUIZ MEDEIROS                               </v>
          </cell>
        </row>
        <row r="427">
          <cell r="B427">
            <v>103</v>
          </cell>
          <cell r="C427" t="str">
            <v xml:space="preserve">ANDRE LUIZ MEDEIROS                               </v>
          </cell>
        </row>
        <row r="428">
          <cell r="B428">
            <v>103</v>
          </cell>
          <cell r="C428" t="str">
            <v xml:space="preserve">ANDRE LUIZ MEDEIROS                               </v>
          </cell>
        </row>
        <row r="429">
          <cell r="B429">
            <v>103</v>
          </cell>
          <cell r="C429" t="str">
            <v xml:space="preserve">ANDRE LUIZ MEDEIROS                               </v>
          </cell>
        </row>
        <row r="430">
          <cell r="B430">
            <v>103</v>
          </cell>
          <cell r="C430" t="str">
            <v xml:space="preserve">ANDRE LUIZ MEDEIROS                               </v>
          </cell>
        </row>
        <row r="431">
          <cell r="B431">
            <v>103</v>
          </cell>
          <cell r="C431" t="str">
            <v xml:space="preserve">ANDRE LUIZ MEDEIROS                               </v>
          </cell>
        </row>
        <row r="432">
          <cell r="B432">
            <v>103</v>
          </cell>
          <cell r="C432" t="str">
            <v xml:space="preserve">ANDRE LUIZ MEDEIROS                               </v>
          </cell>
        </row>
        <row r="433">
          <cell r="B433">
            <v>103</v>
          </cell>
          <cell r="C433" t="str">
            <v xml:space="preserve">ANDRE LUIZ MEDEIROS                               </v>
          </cell>
        </row>
        <row r="434">
          <cell r="B434">
            <v>103</v>
          </cell>
          <cell r="C434" t="str">
            <v xml:space="preserve">ANDRE LUIZ MEDEIROS                               </v>
          </cell>
        </row>
        <row r="435">
          <cell r="B435">
            <v>103</v>
          </cell>
          <cell r="C435" t="str">
            <v xml:space="preserve">ANDRE LUIZ MEDEIROS                               </v>
          </cell>
        </row>
        <row r="436">
          <cell r="B436">
            <v>103</v>
          </cell>
          <cell r="C436" t="str">
            <v xml:space="preserve">ANDRE LUIZ MEDEIROS                               </v>
          </cell>
        </row>
        <row r="437">
          <cell r="B437">
            <v>103</v>
          </cell>
          <cell r="C437" t="str">
            <v xml:space="preserve">ANDRE LUIZ MEDEIROS                               </v>
          </cell>
        </row>
        <row r="438">
          <cell r="B438">
            <v>103</v>
          </cell>
          <cell r="C438" t="str">
            <v xml:space="preserve">ANDRE LUIZ MEDEIROS                               </v>
          </cell>
        </row>
        <row r="439">
          <cell r="B439">
            <v>103</v>
          </cell>
          <cell r="C439" t="str">
            <v xml:space="preserve">ANDRE LUIZ MEDEIROS                               </v>
          </cell>
        </row>
        <row r="440">
          <cell r="B440">
            <v>103</v>
          </cell>
          <cell r="C440" t="str">
            <v xml:space="preserve">ANDRE LUIZ MEDEIROS                               </v>
          </cell>
        </row>
        <row r="441">
          <cell r="B441">
            <v>103</v>
          </cell>
          <cell r="C441" t="str">
            <v xml:space="preserve">ANDRE LUIZ MEDEIROS                               </v>
          </cell>
        </row>
        <row r="442">
          <cell r="B442">
            <v>103</v>
          </cell>
          <cell r="C442" t="str">
            <v xml:space="preserve">ANDRE LUIZ MEDEIROS                               </v>
          </cell>
        </row>
        <row r="443">
          <cell r="B443">
            <v>103</v>
          </cell>
          <cell r="C443" t="str">
            <v xml:space="preserve">ANDRE LUIZ MEDEIROS                               </v>
          </cell>
        </row>
        <row r="444">
          <cell r="B444">
            <v>103</v>
          </cell>
          <cell r="C444" t="str">
            <v xml:space="preserve">ANDRE LUIZ MEDEIROS                               </v>
          </cell>
        </row>
        <row r="445">
          <cell r="B445">
            <v>103</v>
          </cell>
          <cell r="C445" t="str">
            <v xml:space="preserve">ANDRE LUIZ MEDEIROS                               </v>
          </cell>
        </row>
        <row r="446">
          <cell r="B446">
            <v>103</v>
          </cell>
          <cell r="C446" t="str">
            <v xml:space="preserve">ANDRE LUIZ MEDEIROS                               </v>
          </cell>
        </row>
        <row r="447">
          <cell r="B447">
            <v>103</v>
          </cell>
          <cell r="C447" t="str">
            <v xml:space="preserve">ANDRE LUIZ MEDEIROS                               </v>
          </cell>
        </row>
        <row r="448">
          <cell r="B448">
            <v>103</v>
          </cell>
          <cell r="C448" t="str">
            <v xml:space="preserve">ANDRE LUIZ MEDEIROS                               </v>
          </cell>
        </row>
        <row r="449">
          <cell r="B449">
            <v>103</v>
          </cell>
          <cell r="C449" t="str">
            <v xml:space="preserve">ANDRE LUIZ MEDEIROS                               </v>
          </cell>
        </row>
        <row r="450">
          <cell r="B450">
            <v>103</v>
          </cell>
          <cell r="C450" t="str">
            <v xml:space="preserve">ANDRE LUIZ MEDEIROS                               </v>
          </cell>
        </row>
        <row r="451">
          <cell r="B451">
            <v>103</v>
          </cell>
          <cell r="C451" t="str">
            <v xml:space="preserve">ANDRE LUIZ MEDEIROS                               </v>
          </cell>
        </row>
        <row r="452">
          <cell r="B452">
            <v>103</v>
          </cell>
          <cell r="C452" t="str">
            <v xml:space="preserve">ANDRE LUIZ MEDEIROS                               </v>
          </cell>
        </row>
        <row r="453">
          <cell r="B453">
            <v>103</v>
          </cell>
          <cell r="C453" t="str">
            <v xml:space="preserve">ANDRE LUIZ MEDEIROS                               </v>
          </cell>
        </row>
        <row r="454">
          <cell r="B454">
            <v>103</v>
          </cell>
          <cell r="C454" t="str">
            <v xml:space="preserve">ANDRE LUIZ MEDEIROS                               </v>
          </cell>
        </row>
        <row r="455">
          <cell r="B455">
            <v>103</v>
          </cell>
          <cell r="C455" t="str">
            <v xml:space="preserve">ANDRE LUIZ MEDEIROS                               </v>
          </cell>
        </row>
        <row r="456">
          <cell r="B456">
            <v>103</v>
          </cell>
          <cell r="C456" t="str">
            <v xml:space="preserve">ANDRE LUIZ MEDEIROS                               </v>
          </cell>
        </row>
        <row r="457">
          <cell r="B457">
            <v>104</v>
          </cell>
          <cell r="C457" t="str">
            <v xml:space="preserve">JOSE BATISTA DE VASC                              </v>
          </cell>
        </row>
        <row r="458">
          <cell r="B458">
            <v>104</v>
          </cell>
          <cell r="C458" t="str">
            <v xml:space="preserve">JOSE BATISTA DE VASC                              </v>
          </cell>
        </row>
        <row r="459">
          <cell r="B459">
            <v>104</v>
          </cell>
          <cell r="C459" t="str">
            <v xml:space="preserve">JOSE BATISTA DE VASC                              </v>
          </cell>
        </row>
        <row r="460">
          <cell r="B460">
            <v>104</v>
          </cell>
          <cell r="C460" t="str">
            <v xml:space="preserve">JOSE BATISTA DE VASC                              </v>
          </cell>
        </row>
        <row r="461">
          <cell r="B461">
            <v>104</v>
          </cell>
          <cell r="C461" t="str">
            <v xml:space="preserve">JOSE BATISTA DE VASC                              </v>
          </cell>
        </row>
        <row r="462">
          <cell r="B462">
            <v>104</v>
          </cell>
          <cell r="C462" t="str">
            <v xml:space="preserve">JOSE BATISTA DE VASC                              </v>
          </cell>
        </row>
        <row r="463">
          <cell r="B463">
            <v>104</v>
          </cell>
          <cell r="C463" t="str">
            <v xml:space="preserve">JOSE BATISTA DE VASC                              </v>
          </cell>
        </row>
        <row r="464">
          <cell r="B464">
            <v>104</v>
          </cell>
          <cell r="C464" t="str">
            <v xml:space="preserve">JOSE BATISTA DE VASC                              </v>
          </cell>
        </row>
        <row r="465">
          <cell r="B465">
            <v>104</v>
          </cell>
          <cell r="C465" t="str">
            <v xml:space="preserve">JOSE BATISTA DE VASC                              </v>
          </cell>
        </row>
        <row r="466">
          <cell r="B466">
            <v>104</v>
          </cell>
          <cell r="C466" t="str">
            <v xml:space="preserve">JOSE BATISTA DE VASC                              </v>
          </cell>
        </row>
        <row r="467">
          <cell r="B467">
            <v>104</v>
          </cell>
          <cell r="C467" t="str">
            <v xml:space="preserve">JOSE BATISTA DE VASC                              </v>
          </cell>
        </row>
        <row r="468">
          <cell r="B468">
            <v>104</v>
          </cell>
          <cell r="C468" t="str">
            <v xml:space="preserve">JOSE BATISTA DE VASC                              </v>
          </cell>
        </row>
        <row r="469">
          <cell r="B469">
            <v>104</v>
          </cell>
          <cell r="C469" t="str">
            <v xml:space="preserve">JOSE BATISTA DE VASC                              </v>
          </cell>
        </row>
        <row r="470">
          <cell r="B470">
            <v>104</v>
          </cell>
          <cell r="C470" t="str">
            <v xml:space="preserve">JOSE BATISTA DE VASC                              </v>
          </cell>
        </row>
        <row r="471">
          <cell r="B471">
            <v>104</v>
          </cell>
          <cell r="C471" t="str">
            <v xml:space="preserve">JOSE BATISTA DE VASC                              </v>
          </cell>
        </row>
        <row r="472">
          <cell r="B472">
            <v>104</v>
          </cell>
          <cell r="C472" t="str">
            <v xml:space="preserve">JOSE BATISTA DE VASC                              </v>
          </cell>
        </row>
        <row r="473">
          <cell r="B473">
            <v>104</v>
          </cell>
          <cell r="C473" t="str">
            <v xml:space="preserve">JOSE BATISTA DE VASC                              </v>
          </cell>
        </row>
        <row r="474">
          <cell r="B474">
            <v>104</v>
          </cell>
          <cell r="C474" t="str">
            <v xml:space="preserve">JOSE BATISTA DE VASC                              </v>
          </cell>
        </row>
        <row r="475">
          <cell r="B475">
            <v>104</v>
          </cell>
          <cell r="C475" t="str">
            <v xml:space="preserve">JOSE BATISTA DE VASC                              </v>
          </cell>
        </row>
        <row r="476">
          <cell r="B476">
            <v>104</v>
          </cell>
          <cell r="C476" t="str">
            <v xml:space="preserve">JOSE BATISTA DE VASC                              </v>
          </cell>
        </row>
        <row r="477">
          <cell r="B477">
            <v>104</v>
          </cell>
          <cell r="C477" t="str">
            <v xml:space="preserve">JOSE BATISTA DE VASC                              </v>
          </cell>
        </row>
        <row r="478">
          <cell r="B478">
            <v>104</v>
          </cell>
          <cell r="C478" t="str">
            <v xml:space="preserve">JOSE BATISTA DE VASC                              </v>
          </cell>
        </row>
        <row r="479">
          <cell r="B479">
            <v>104</v>
          </cell>
          <cell r="C479" t="str">
            <v xml:space="preserve">JOSE BATISTA DE VASC                              </v>
          </cell>
        </row>
        <row r="480">
          <cell r="B480">
            <v>104</v>
          </cell>
          <cell r="C480" t="str">
            <v xml:space="preserve">JOSE BATISTA DE VASC                              </v>
          </cell>
        </row>
        <row r="481">
          <cell r="B481">
            <v>104</v>
          </cell>
          <cell r="C481" t="str">
            <v xml:space="preserve">JOSE BATISTA DE VASC                              </v>
          </cell>
        </row>
        <row r="482">
          <cell r="B482">
            <v>104</v>
          </cell>
          <cell r="C482" t="str">
            <v xml:space="preserve">JOSE BATISTA DE VASC                              </v>
          </cell>
        </row>
        <row r="483">
          <cell r="B483">
            <v>104</v>
          </cell>
          <cell r="C483" t="str">
            <v xml:space="preserve">JOSE BATISTA DE VASC                              </v>
          </cell>
        </row>
        <row r="484">
          <cell r="B484">
            <v>104</v>
          </cell>
          <cell r="C484" t="str">
            <v xml:space="preserve">JOSE BATISTA DE VASC                              </v>
          </cell>
        </row>
        <row r="485">
          <cell r="B485">
            <v>104</v>
          </cell>
          <cell r="C485" t="str">
            <v xml:space="preserve">JOSE BATISTA DE VASC                              </v>
          </cell>
        </row>
        <row r="486">
          <cell r="B486">
            <v>104</v>
          </cell>
          <cell r="C486" t="str">
            <v xml:space="preserve">JOSE BATISTA DE VASC                              </v>
          </cell>
        </row>
        <row r="487">
          <cell r="B487">
            <v>104</v>
          </cell>
          <cell r="C487" t="str">
            <v xml:space="preserve">JOSE BATISTA DE VASC                              </v>
          </cell>
        </row>
        <row r="488">
          <cell r="B488">
            <v>104</v>
          </cell>
          <cell r="C488" t="str">
            <v xml:space="preserve">JOSE BATISTA DE VASC                              </v>
          </cell>
        </row>
        <row r="489">
          <cell r="B489">
            <v>104</v>
          </cell>
          <cell r="C489" t="str">
            <v xml:space="preserve">JOSE BATISTA DE VASC                              </v>
          </cell>
        </row>
        <row r="490">
          <cell r="B490">
            <v>104</v>
          </cell>
          <cell r="C490" t="str">
            <v xml:space="preserve">JOSE BATISTA DE VASC                              </v>
          </cell>
        </row>
        <row r="491">
          <cell r="B491">
            <v>104</v>
          </cell>
          <cell r="C491" t="str">
            <v xml:space="preserve">JOSE BATISTA DE VASC                              </v>
          </cell>
        </row>
        <row r="492">
          <cell r="B492">
            <v>104</v>
          </cell>
          <cell r="C492" t="str">
            <v xml:space="preserve">JOSE BATISTA DE VASC                              </v>
          </cell>
        </row>
        <row r="493">
          <cell r="B493">
            <v>104</v>
          </cell>
          <cell r="C493" t="str">
            <v xml:space="preserve">JOSE BATISTA DE VASC                              </v>
          </cell>
        </row>
        <row r="494">
          <cell r="B494">
            <v>104</v>
          </cell>
          <cell r="C494" t="str">
            <v xml:space="preserve">JOSE BATISTA DE VASC                              </v>
          </cell>
        </row>
        <row r="495">
          <cell r="B495">
            <v>104</v>
          </cell>
          <cell r="C495" t="str">
            <v xml:space="preserve">JOSE BATISTA DE VASC                              </v>
          </cell>
        </row>
        <row r="496">
          <cell r="B496">
            <v>104</v>
          </cell>
          <cell r="C496" t="str">
            <v xml:space="preserve">JOSE BATISTA DE VASC                              </v>
          </cell>
        </row>
        <row r="497">
          <cell r="B497">
            <v>104</v>
          </cell>
          <cell r="C497" t="str">
            <v xml:space="preserve">JOSE BATISTA DE VASC                              </v>
          </cell>
        </row>
        <row r="498">
          <cell r="B498">
            <v>104</v>
          </cell>
          <cell r="C498" t="str">
            <v xml:space="preserve">JOSE BATISTA DE VASC                              </v>
          </cell>
        </row>
        <row r="499">
          <cell r="B499">
            <v>104</v>
          </cell>
          <cell r="C499" t="str">
            <v xml:space="preserve">JOSE BATISTA DE VASC                              </v>
          </cell>
        </row>
        <row r="500">
          <cell r="B500">
            <v>104</v>
          </cell>
          <cell r="C500" t="str">
            <v xml:space="preserve">JOSE BATISTA DE VASC                              </v>
          </cell>
        </row>
        <row r="501">
          <cell r="B501">
            <v>104</v>
          </cell>
          <cell r="C501" t="str">
            <v xml:space="preserve">JOSE BATISTA DE VASC                              </v>
          </cell>
        </row>
        <row r="502">
          <cell r="B502">
            <v>104</v>
          </cell>
          <cell r="C502" t="str">
            <v xml:space="preserve">JOSE BATISTA DE VASC                              </v>
          </cell>
        </row>
        <row r="503">
          <cell r="B503">
            <v>104</v>
          </cell>
          <cell r="C503" t="str">
            <v xml:space="preserve">JOSE BATISTA DE VASC                              </v>
          </cell>
        </row>
        <row r="504">
          <cell r="B504">
            <v>104</v>
          </cell>
          <cell r="C504" t="str">
            <v xml:space="preserve">JOSE BATISTA DE VASC                              </v>
          </cell>
        </row>
        <row r="505">
          <cell r="B505">
            <v>104</v>
          </cell>
          <cell r="C505" t="str">
            <v xml:space="preserve">JOSE BATISTA DE VASC                              </v>
          </cell>
        </row>
        <row r="506">
          <cell r="B506">
            <v>104</v>
          </cell>
          <cell r="C506" t="str">
            <v xml:space="preserve">JOSE BATISTA DE VASC                              </v>
          </cell>
        </row>
        <row r="507">
          <cell r="B507">
            <v>104</v>
          </cell>
          <cell r="C507" t="str">
            <v xml:space="preserve">JOSE BATISTA DE VASC                              </v>
          </cell>
        </row>
        <row r="508">
          <cell r="B508">
            <v>104</v>
          </cell>
          <cell r="C508" t="str">
            <v xml:space="preserve">JOSE BATISTA DE VASC                              </v>
          </cell>
        </row>
        <row r="509">
          <cell r="B509">
            <v>104</v>
          </cell>
          <cell r="C509" t="str">
            <v xml:space="preserve">JOSE BATISTA DE VASC                              </v>
          </cell>
        </row>
        <row r="510">
          <cell r="B510">
            <v>104</v>
          </cell>
          <cell r="C510" t="str">
            <v xml:space="preserve">JOSE BATISTA DE VASC                              </v>
          </cell>
        </row>
        <row r="511">
          <cell r="B511">
            <v>104</v>
          </cell>
          <cell r="C511" t="str">
            <v xml:space="preserve">JOSE BATISTA DE VASC                              </v>
          </cell>
        </row>
        <row r="512">
          <cell r="B512">
            <v>104</v>
          </cell>
          <cell r="C512" t="str">
            <v xml:space="preserve">JOSE BATISTA DE VASC                              </v>
          </cell>
        </row>
        <row r="513">
          <cell r="B513">
            <v>104</v>
          </cell>
          <cell r="C513" t="str">
            <v xml:space="preserve">JOSE BATISTA DE VASC                              </v>
          </cell>
        </row>
        <row r="514">
          <cell r="B514">
            <v>104</v>
          </cell>
          <cell r="C514" t="str">
            <v xml:space="preserve">JOSE BATISTA DE VASC                              </v>
          </cell>
        </row>
        <row r="515">
          <cell r="B515">
            <v>104</v>
          </cell>
          <cell r="C515" t="str">
            <v xml:space="preserve">JOSE BATISTA DE VASC                              </v>
          </cell>
        </row>
        <row r="516">
          <cell r="B516">
            <v>104</v>
          </cell>
          <cell r="C516" t="str">
            <v xml:space="preserve">JOSE BATISTA DE VASC                              </v>
          </cell>
        </row>
        <row r="517">
          <cell r="B517">
            <v>104</v>
          </cell>
          <cell r="C517" t="str">
            <v xml:space="preserve">JOSE BATISTA DE VASC                              </v>
          </cell>
        </row>
        <row r="518">
          <cell r="B518">
            <v>104</v>
          </cell>
          <cell r="C518" t="str">
            <v xml:space="preserve">JOSE BATISTA DE VASC                              </v>
          </cell>
        </row>
        <row r="519">
          <cell r="B519">
            <v>104</v>
          </cell>
          <cell r="C519" t="str">
            <v xml:space="preserve">JOSE BATISTA DE VASC                              </v>
          </cell>
        </row>
        <row r="520">
          <cell r="B520">
            <v>104</v>
          </cell>
          <cell r="C520" t="str">
            <v xml:space="preserve">JOSE BATISTA DE VASC                              </v>
          </cell>
        </row>
        <row r="521">
          <cell r="B521">
            <v>104</v>
          </cell>
          <cell r="C521" t="str">
            <v xml:space="preserve">JOSE BATISTA DE VASC                              </v>
          </cell>
        </row>
        <row r="522">
          <cell r="B522">
            <v>104</v>
          </cell>
          <cell r="C522" t="str">
            <v xml:space="preserve">JOSE BATISTA DE VASC                              </v>
          </cell>
        </row>
        <row r="523">
          <cell r="B523">
            <v>104</v>
          </cell>
          <cell r="C523" t="str">
            <v xml:space="preserve">JOSE BATISTA DE VASC                              </v>
          </cell>
        </row>
        <row r="524">
          <cell r="B524">
            <v>104</v>
          </cell>
          <cell r="C524" t="str">
            <v xml:space="preserve">JOSE BATISTA DE VASC                              </v>
          </cell>
        </row>
        <row r="525">
          <cell r="B525">
            <v>104</v>
          </cell>
          <cell r="C525" t="str">
            <v xml:space="preserve">JOSE BATISTA DE VASC                              </v>
          </cell>
        </row>
        <row r="526">
          <cell r="B526">
            <v>104</v>
          </cell>
          <cell r="C526" t="str">
            <v xml:space="preserve">JOSE BATISTA DE VASC                              </v>
          </cell>
        </row>
        <row r="527">
          <cell r="B527">
            <v>104</v>
          </cell>
          <cell r="C527" t="str">
            <v xml:space="preserve">JOSE BATISTA DE VASC                              </v>
          </cell>
        </row>
        <row r="528">
          <cell r="B528">
            <v>104</v>
          </cell>
          <cell r="C528" t="str">
            <v xml:space="preserve">JOSE BATISTA DE VASC                              </v>
          </cell>
        </row>
        <row r="529">
          <cell r="B529">
            <v>104</v>
          </cell>
          <cell r="C529" t="str">
            <v xml:space="preserve">JOSE BATISTA DE VASC                              </v>
          </cell>
        </row>
        <row r="530">
          <cell r="B530">
            <v>104</v>
          </cell>
          <cell r="C530" t="str">
            <v xml:space="preserve">JOSE BATISTA DE VASC                              </v>
          </cell>
        </row>
        <row r="531">
          <cell r="B531">
            <v>104</v>
          </cell>
          <cell r="C531" t="str">
            <v xml:space="preserve">JOSE BATISTA DE VASC                              </v>
          </cell>
        </row>
        <row r="532">
          <cell r="B532">
            <v>104</v>
          </cell>
          <cell r="C532" t="str">
            <v xml:space="preserve">JOSE BATISTA DE VASC                              </v>
          </cell>
        </row>
        <row r="533">
          <cell r="B533">
            <v>104</v>
          </cell>
          <cell r="C533" t="str">
            <v xml:space="preserve">JOSE BATISTA DE VASC                              </v>
          </cell>
        </row>
        <row r="534">
          <cell r="B534">
            <v>104</v>
          </cell>
          <cell r="C534" t="str">
            <v xml:space="preserve">JOSE BATISTA DE VASC                              </v>
          </cell>
        </row>
        <row r="535">
          <cell r="B535">
            <v>104</v>
          </cell>
          <cell r="C535" t="str">
            <v xml:space="preserve">JOSE BATISTA DE VASC                              </v>
          </cell>
        </row>
        <row r="536">
          <cell r="B536">
            <v>104</v>
          </cell>
          <cell r="C536" t="str">
            <v xml:space="preserve">JOSE BATISTA DE VASC                              </v>
          </cell>
        </row>
        <row r="537">
          <cell r="B537">
            <v>104</v>
          </cell>
          <cell r="C537" t="str">
            <v xml:space="preserve">JOSE BATISTA DE VASC                              </v>
          </cell>
        </row>
        <row r="538">
          <cell r="B538">
            <v>104</v>
          </cell>
          <cell r="C538" t="str">
            <v xml:space="preserve">JOSE BATISTA DE VASC                              </v>
          </cell>
        </row>
        <row r="539">
          <cell r="B539">
            <v>104</v>
          </cell>
          <cell r="C539" t="str">
            <v xml:space="preserve">JOSE BATISTA DE VASC                              </v>
          </cell>
        </row>
        <row r="540">
          <cell r="B540">
            <v>104</v>
          </cell>
          <cell r="C540" t="str">
            <v xml:space="preserve">JOSE BATISTA DE VASC                              </v>
          </cell>
        </row>
        <row r="541">
          <cell r="B541">
            <v>104</v>
          </cell>
          <cell r="C541" t="str">
            <v xml:space="preserve">JOSE BATISTA DE VASC                              </v>
          </cell>
        </row>
        <row r="542">
          <cell r="B542">
            <v>104</v>
          </cell>
          <cell r="C542" t="str">
            <v xml:space="preserve">JOSE BATISTA DE VASC                              </v>
          </cell>
        </row>
        <row r="543">
          <cell r="B543">
            <v>104</v>
          </cell>
          <cell r="C543" t="str">
            <v xml:space="preserve">JOSE BATISTA DE VASC                              </v>
          </cell>
        </row>
        <row r="544">
          <cell r="B544">
            <v>104</v>
          </cell>
          <cell r="C544" t="str">
            <v xml:space="preserve">JOSE BATISTA DE VASC                              </v>
          </cell>
        </row>
        <row r="545">
          <cell r="B545">
            <v>104</v>
          </cell>
          <cell r="C545" t="str">
            <v xml:space="preserve">JOSE BATISTA DE VASC                              </v>
          </cell>
        </row>
        <row r="546">
          <cell r="B546">
            <v>104</v>
          </cell>
          <cell r="C546" t="str">
            <v xml:space="preserve">JOSE BATISTA DE VASC                              </v>
          </cell>
        </row>
        <row r="547">
          <cell r="B547">
            <v>104</v>
          </cell>
          <cell r="C547" t="str">
            <v xml:space="preserve">JOSE BATISTA DE VASC                              </v>
          </cell>
        </row>
        <row r="548">
          <cell r="B548">
            <v>104</v>
          </cell>
          <cell r="C548" t="str">
            <v xml:space="preserve">JOSE BATISTA DE VASC                              </v>
          </cell>
        </row>
        <row r="549">
          <cell r="B549">
            <v>104</v>
          </cell>
          <cell r="C549" t="str">
            <v xml:space="preserve">JOSE BATISTA DE VASC                              </v>
          </cell>
        </row>
        <row r="550">
          <cell r="B550">
            <v>104</v>
          </cell>
          <cell r="C550" t="str">
            <v xml:space="preserve">JOSE BATISTA DE VASC                              </v>
          </cell>
        </row>
        <row r="551">
          <cell r="B551">
            <v>104</v>
          </cell>
          <cell r="C551" t="str">
            <v xml:space="preserve">JOSE BATISTA DE VASC                              </v>
          </cell>
        </row>
        <row r="552">
          <cell r="B552">
            <v>104</v>
          </cell>
          <cell r="C552" t="str">
            <v xml:space="preserve">JOSE BATISTA DE VASC                              </v>
          </cell>
        </row>
        <row r="553">
          <cell r="B553">
            <v>104</v>
          </cell>
          <cell r="C553" t="str">
            <v xml:space="preserve">JOSE BATISTA DE VASC                              </v>
          </cell>
        </row>
        <row r="554">
          <cell r="B554">
            <v>104</v>
          </cell>
          <cell r="C554" t="str">
            <v xml:space="preserve">JOSE BATISTA DE VASC                              </v>
          </cell>
        </row>
        <row r="555">
          <cell r="B555">
            <v>104</v>
          </cell>
          <cell r="C555" t="str">
            <v xml:space="preserve">JOSE BATISTA DE VASC                              </v>
          </cell>
        </row>
        <row r="556">
          <cell r="B556">
            <v>104</v>
          </cell>
          <cell r="C556" t="str">
            <v xml:space="preserve">JOSE BATISTA DE VASC                              </v>
          </cell>
        </row>
        <row r="557">
          <cell r="B557">
            <v>104</v>
          </cell>
          <cell r="C557" t="str">
            <v xml:space="preserve">JOSE BATISTA DE VASC                              </v>
          </cell>
        </row>
        <row r="558">
          <cell r="B558">
            <v>104</v>
          </cell>
          <cell r="C558" t="str">
            <v xml:space="preserve">JOSE BATISTA DE VASC                              </v>
          </cell>
        </row>
        <row r="559">
          <cell r="B559">
            <v>104</v>
          </cell>
          <cell r="C559" t="str">
            <v xml:space="preserve">JOSE BATISTA DE VASC                              </v>
          </cell>
        </row>
        <row r="560">
          <cell r="B560">
            <v>104</v>
          </cell>
          <cell r="C560" t="str">
            <v xml:space="preserve">JOSE BATISTA DE VASC                              </v>
          </cell>
        </row>
        <row r="561">
          <cell r="B561">
            <v>104</v>
          </cell>
          <cell r="C561" t="str">
            <v xml:space="preserve">JOSE BATISTA DE VASC                              </v>
          </cell>
        </row>
        <row r="562">
          <cell r="B562">
            <v>104</v>
          </cell>
          <cell r="C562" t="str">
            <v xml:space="preserve">JOSE BATISTA DE VASC                              </v>
          </cell>
        </row>
        <row r="563">
          <cell r="B563">
            <v>104</v>
          </cell>
          <cell r="C563" t="str">
            <v xml:space="preserve">JOSE BATISTA DE VASC                              </v>
          </cell>
        </row>
        <row r="564">
          <cell r="B564">
            <v>104</v>
          </cell>
          <cell r="C564" t="str">
            <v xml:space="preserve">JOSE BATISTA DE VASC                              </v>
          </cell>
        </row>
        <row r="565">
          <cell r="B565">
            <v>104</v>
          </cell>
          <cell r="C565" t="str">
            <v xml:space="preserve">JOSE BATISTA DE VASC                              </v>
          </cell>
        </row>
        <row r="566">
          <cell r="B566">
            <v>104</v>
          </cell>
          <cell r="C566" t="str">
            <v xml:space="preserve">JOSE BATISTA DE VASC                              </v>
          </cell>
        </row>
        <row r="567">
          <cell r="B567">
            <v>104</v>
          </cell>
          <cell r="C567" t="str">
            <v xml:space="preserve">JOSE BATISTA DE VASC                              </v>
          </cell>
        </row>
        <row r="568">
          <cell r="B568">
            <v>104</v>
          </cell>
          <cell r="C568" t="str">
            <v xml:space="preserve">JOSE BATISTA DE VASC                              </v>
          </cell>
        </row>
        <row r="569">
          <cell r="B569">
            <v>104</v>
          </cell>
          <cell r="C569" t="str">
            <v xml:space="preserve">JOSE BATISTA DE VASC                              </v>
          </cell>
        </row>
        <row r="570">
          <cell r="B570">
            <v>104</v>
          </cell>
          <cell r="C570" t="str">
            <v xml:space="preserve">JOSE BATISTA DE VASC                              </v>
          </cell>
        </row>
        <row r="571">
          <cell r="B571">
            <v>104</v>
          </cell>
          <cell r="C571" t="str">
            <v xml:space="preserve">JOSE BATISTA DE VASC                              </v>
          </cell>
        </row>
        <row r="572">
          <cell r="B572">
            <v>104</v>
          </cell>
          <cell r="C572" t="str">
            <v xml:space="preserve">JOSE BATISTA DE VASC                              </v>
          </cell>
        </row>
        <row r="573">
          <cell r="B573">
            <v>104</v>
          </cell>
          <cell r="C573" t="str">
            <v xml:space="preserve">JOSE BATISTA DE VASC                              </v>
          </cell>
        </row>
        <row r="574">
          <cell r="B574">
            <v>104</v>
          </cell>
          <cell r="C574" t="str">
            <v xml:space="preserve">JOSE BATISTA DE VASC                              </v>
          </cell>
        </row>
        <row r="575">
          <cell r="B575">
            <v>104</v>
          </cell>
          <cell r="C575" t="str">
            <v xml:space="preserve">JOSE BATISTA DE VASC                              </v>
          </cell>
        </row>
        <row r="576">
          <cell r="B576">
            <v>104</v>
          </cell>
          <cell r="C576" t="str">
            <v xml:space="preserve">JOSE BATISTA DE VASC                              </v>
          </cell>
        </row>
        <row r="577">
          <cell r="B577">
            <v>104</v>
          </cell>
          <cell r="C577" t="str">
            <v xml:space="preserve">JOSE BATISTA DE VASC                              </v>
          </cell>
        </row>
        <row r="578">
          <cell r="B578">
            <v>104</v>
          </cell>
          <cell r="C578" t="str">
            <v xml:space="preserve">JOSE BATISTA DE VASC                              </v>
          </cell>
        </row>
        <row r="579">
          <cell r="B579">
            <v>104</v>
          </cell>
          <cell r="C579" t="str">
            <v xml:space="preserve">JOSE BATISTA DE VASC                              </v>
          </cell>
        </row>
        <row r="580">
          <cell r="B580">
            <v>104</v>
          </cell>
          <cell r="C580" t="str">
            <v xml:space="preserve">JOSE BATISTA DE VASC                              </v>
          </cell>
        </row>
        <row r="581">
          <cell r="B581">
            <v>104</v>
          </cell>
          <cell r="C581" t="str">
            <v xml:space="preserve">JOSE BATISTA DE VASC                              </v>
          </cell>
        </row>
        <row r="582">
          <cell r="B582">
            <v>104</v>
          </cell>
          <cell r="C582" t="str">
            <v xml:space="preserve">JOSE BATISTA DE VASC                              </v>
          </cell>
        </row>
        <row r="583">
          <cell r="B583">
            <v>104</v>
          </cell>
          <cell r="C583" t="str">
            <v xml:space="preserve">JOSE BATISTA DE VASC                              </v>
          </cell>
        </row>
        <row r="584">
          <cell r="B584">
            <v>104</v>
          </cell>
          <cell r="C584" t="str">
            <v xml:space="preserve">JOSE BATISTA DE VASC                              </v>
          </cell>
        </row>
        <row r="585">
          <cell r="B585">
            <v>104</v>
          </cell>
          <cell r="C585" t="str">
            <v xml:space="preserve">JOSE BATISTA DE VASC                              </v>
          </cell>
        </row>
        <row r="586">
          <cell r="B586">
            <v>104</v>
          </cell>
          <cell r="C586" t="str">
            <v xml:space="preserve">JOSE BATISTA DE VASC                              </v>
          </cell>
        </row>
        <row r="587">
          <cell r="B587">
            <v>104</v>
          </cell>
          <cell r="C587" t="str">
            <v xml:space="preserve">JOSE BATISTA DE VASC                              </v>
          </cell>
        </row>
        <row r="588">
          <cell r="B588">
            <v>104</v>
          </cell>
          <cell r="C588" t="str">
            <v xml:space="preserve">JOSE BATISTA DE VASC                              </v>
          </cell>
        </row>
        <row r="589">
          <cell r="B589">
            <v>104</v>
          </cell>
          <cell r="C589" t="str">
            <v xml:space="preserve">JOSE BATISTA DE VASC                              </v>
          </cell>
        </row>
        <row r="590">
          <cell r="B590">
            <v>104</v>
          </cell>
          <cell r="C590" t="str">
            <v xml:space="preserve">JOSE BATISTA DE VASC                              </v>
          </cell>
        </row>
        <row r="591">
          <cell r="B591">
            <v>104</v>
          </cell>
          <cell r="C591" t="str">
            <v xml:space="preserve">JOSE BATISTA DE VASC                              </v>
          </cell>
        </row>
        <row r="592">
          <cell r="B592">
            <v>104</v>
          </cell>
          <cell r="C592" t="str">
            <v xml:space="preserve">JOSE BATISTA DE VASC                              </v>
          </cell>
        </row>
        <row r="593">
          <cell r="B593">
            <v>104</v>
          </cell>
          <cell r="C593" t="str">
            <v xml:space="preserve">JOSE BATISTA DE VASC                              </v>
          </cell>
        </row>
        <row r="594">
          <cell r="B594">
            <v>104</v>
          </cell>
          <cell r="C594" t="str">
            <v xml:space="preserve">JOSE BATISTA DE VASC                              </v>
          </cell>
        </row>
        <row r="595">
          <cell r="B595">
            <v>104</v>
          </cell>
          <cell r="C595" t="str">
            <v xml:space="preserve">JOSE BATISTA DE VASC                              </v>
          </cell>
        </row>
        <row r="596">
          <cell r="B596">
            <v>104</v>
          </cell>
          <cell r="C596" t="str">
            <v xml:space="preserve">JOSE BATISTA DE VASC                              </v>
          </cell>
        </row>
        <row r="597">
          <cell r="B597">
            <v>104</v>
          </cell>
          <cell r="C597" t="str">
            <v xml:space="preserve">JOSE BATISTA DE VASC                              </v>
          </cell>
        </row>
        <row r="598">
          <cell r="B598">
            <v>104</v>
          </cell>
          <cell r="C598" t="str">
            <v xml:space="preserve">JOSE BATISTA DE VASC                              </v>
          </cell>
        </row>
        <row r="599">
          <cell r="B599">
            <v>104</v>
          </cell>
          <cell r="C599" t="str">
            <v xml:space="preserve">JOSE BATISTA DE VASC                              </v>
          </cell>
        </row>
        <row r="600">
          <cell r="B600">
            <v>104</v>
          </cell>
          <cell r="C600" t="str">
            <v xml:space="preserve">JOSE BATISTA DE VASC                              </v>
          </cell>
        </row>
        <row r="601">
          <cell r="B601">
            <v>104</v>
          </cell>
          <cell r="C601" t="str">
            <v xml:space="preserve">JOSE BATISTA DE VASC                              </v>
          </cell>
        </row>
        <row r="602">
          <cell r="B602">
            <v>104</v>
          </cell>
          <cell r="C602" t="str">
            <v xml:space="preserve">JOSE BATISTA DE VASC                              </v>
          </cell>
        </row>
        <row r="603">
          <cell r="B603">
            <v>104</v>
          </cell>
          <cell r="C603" t="str">
            <v xml:space="preserve">JOSE BATISTA DE VASC                              </v>
          </cell>
        </row>
        <row r="604">
          <cell r="B604">
            <v>104</v>
          </cell>
          <cell r="C604" t="str">
            <v xml:space="preserve">JOSE BATISTA DE VASC                              </v>
          </cell>
        </row>
        <row r="605">
          <cell r="B605">
            <v>104</v>
          </cell>
          <cell r="C605" t="str">
            <v xml:space="preserve">JOSE BATISTA DE VASC                              </v>
          </cell>
        </row>
        <row r="606">
          <cell r="B606">
            <v>104</v>
          </cell>
          <cell r="C606" t="str">
            <v xml:space="preserve">JOSE BATISTA DE VASC                              </v>
          </cell>
        </row>
        <row r="607">
          <cell r="B607">
            <v>104</v>
          </cell>
          <cell r="C607" t="str">
            <v xml:space="preserve">JOSE BATISTA DE VASC                              </v>
          </cell>
        </row>
        <row r="608">
          <cell r="B608">
            <v>104</v>
          </cell>
          <cell r="C608" t="str">
            <v xml:space="preserve">JOSE BATISTA DE VASC                              </v>
          </cell>
        </row>
        <row r="609">
          <cell r="B609">
            <v>104</v>
          </cell>
          <cell r="C609" t="str">
            <v xml:space="preserve">JOSE BATISTA DE VASC                              </v>
          </cell>
        </row>
        <row r="610">
          <cell r="B610">
            <v>104</v>
          </cell>
          <cell r="C610" t="str">
            <v xml:space="preserve">JOSE BATISTA DE VASC                              </v>
          </cell>
        </row>
        <row r="611">
          <cell r="B611">
            <v>104</v>
          </cell>
          <cell r="C611" t="str">
            <v xml:space="preserve">JOSE BATISTA DE VASC                              </v>
          </cell>
        </row>
        <row r="612">
          <cell r="B612">
            <v>104</v>
          </cell>
          <cell r="C612" t="str">
            <v xml:space="preserve">JOSE BATISTA DE VASC                              </v>
          </cell>
        </row>
        <row r="613">
          <cell r="B613">
            <v>104</v>
          </cell>
          <cell r="C613" t="str">
            <v xml:space="preserve">JOSE BATISTA DE VASC                              </v>
          </cell>
        </row>
        <row r="614">
          <cell r="B614">
            <v>104</v>
          </cell>
          <cell r="C614" t="str">
            <v xml:space="preserve">JOSE BATISTA DE VASC                              </v>
          </cell>
        </row>
        <row r="615">
          <cell r="B615">
            <v>104</v>
          </cell>
          <cell r="C615" t="str">
            <v xml:space="preserve">JOSE BATISTA DE VASC                              </v>
          </cell>
        </row>
        <row r="616">
          <cell r="B616">
            <v>104</v>
          </cell>
          <cell r="C616" t="str">
            <v xml:space="preserve">JOSE BATISTA DE VASC                              </v>
          </cell>
        </row>
        <row r="617">
          <cell r="B617">
            <v>104</v>
          </cell>
          <cell r="C617" t="str">
            <v xml:space="preserve">JOSE BATISTA DE VASC                              </v>
          </cell>
        </row>
        <row r="618">
          <cell r="B618">
            <v>104</v>
          </cell>
          <cell r="C618" t="str">
            <v xml:space="preserve">JOSE BATISTA DE VASC                              </v>
          </cell>
        </row>
        <row r="619">
          <cell r="B619">
            <v>104</v>
          </cell>
          <cell r="C619" t="str">
            <v xml:space="preserve">JOSE BATISTA DE VASC                              </v>
          </cell>
        </row>
        <row r="620">
          <cell r="B620">
            <v>104</v>
          </cell>
          <cell r="C620" t="str">
            <v xml:space="preserve">JOSE BATISTA DE VASC                              </v>
          </cell>
        </row>
        <row r="621">
          <cell r="B621">
            <v>104</v>
          </cell>
          <cell r="C621" t="str">
            <v xml:space="preserve">JOSE BATISTA DE VASC                              </v>
          </cell>
        </row>
        <row r="622">
          <cell r="B622">
            <v>104</v>
          </cell>
          <cell r="C622" t="str">
            <v xml:space="preserve">JOSE BATISTA DE VASC                              </v>
          </cell>
        </row>
        <row r="623">
          <cell r="B623">
            <v>104</v>
          </cell>
          <cell r="C623" t="str">
            <v xml:space="preserve">JOSE BATISTA DE VASC                              </v>
          </cell>
        </row>
        <row r="624">
          <cell r="B624">
            <v>104</v>
          </cell>
          <cell r="C624" t="str">
            <v xml:space="preserve">JOSE BATISTA DE VASC                              </v>
          </cell>
        </row>
        <row r="625">
          <cell r="B625">
            <v>104</v>
          </cell>
          <cell r="C625" t="str">
            <v xml:space="preserve">JOSE BATISTA DE VASC                              </v>
          </cell>
        </row>
        <row r="626">
          <cell r="B626">
            <v>104</v>
          </cell>
          <cell r="C626" t="str">
            <v xml:space="preserve">JOSE BATISTA DE VASC                              </v>
          </cell>
        </row>
        <row r="627">
          <cell r="B627">
            <v>104</v>
          </cell>
          <cell r="C627" t="str">
            <v xml:space="preserve">JOSE BATISTA DE VASC                              </v>
          </cell>
        </row>
        <row r="628">
          <cell r="B628">
            <v>104</v>
          </cell>
          <cell r="C628" t="str">
            <v xml:space="preserve">JOSE BATISTA DE VASC                              </v>
          </cell>
        </row>
        <row r="629">
          <cell r="B629">
            <v>104</v>
          </cell>
          <cell r="C629" t="str">
            <v xml:space="preserve">JOSE BATISTA DE VASC                              </v>
          </cell>
        </row>
        <row r="630">
          <cell r="B630">
            <v>104</v>
          </cell>
          <cell r="C630" t="str">
            <v xml:space="preserve">JOSE BATISTA DE VASC                              </v>
          </cell>
        </row>
        <row r="631">
          <cell r="B631">
            <v>104</v>
          </cell>
          <cell r="C631" t="str">
            <v xml:space="preserve">JOSE BATISTA DE VASC                              </v>
          </cell>
        </row>
        <row r="632">
          <cell r="B632">
            <v>104</v>
          </cell>
          <cell r="C632" t="str">
            <v xml:space="preserve">JOSE BATISTA DE VASC                              </v>
          </cell>
        </row>
        <row r="633">
          <cell r="B633">
            <v>104</v>
          </cell>
          <cell r="C633" t="str">
            <v xml:space="preserve">JOSE BATISTA DE VASC                              </v>
          </cell>
        </row>
        <row r="634">
          <cell r="B634">
            <v>104</v>
          </cell>
          <cell r="C634" t="str">
            <v xml:space="preserve">JOSE BATISTA DE VASC                              </v>
          </cell>
        </row>
        <row r="635">
          <cell r="B635">
            <v>104</v>
          </cell>
          <cell r="C635" t="str">
            <v xml:space="preserve">JOSE BATISTA DE VASC                              </v>
          </cell>
        </row>
        <row r="636">
          <cell r="B636">
            <v>104</v>
          </cell>
          <cell r="C636" t="str">
            <v xml:space="preserve">JOSE BATISTA DE VASC                              </v>
          </cell>
        </row>
        <row r="637">
          <cell r="B637">
            <v>104</v>
          </cell>
          <cell r="C637" t="str">
            <v xml:space="preserve">JOSE BATISTA DE VASC                              </v>
          </cell>
        </row>
        <row r="638">
          <cell r="B638">
            <v>104</v>
          </cell>
          <cell r="C638" t="str">
            <v xml:space="preserve">JOSE BATISTA DE VASC                              </v>
          </cell>
        </row>
        <row r="639">
          <cell r="B639">
            <v>104</v>
          </cell>
          <cell r="C639" t="str">
            <v xml:space="preserve">JOSE BATISTA DE VASC                              </v>
          </cell>
        </row>
        <row r="640">
          <cell r="B640">
            <v>104</v>
          </cell>
          <cell r="C640" t="str">
            <v xml:space="preserve">JOSE BATISTA DE VASC                              </v>
          </cell>
        </row>
        <row r="641">
          <cell r="B641">
            <v>104</v>
          </cell>
          <cell r="C641" t="str">
            <v xml:space="preserve">JOSE BATISTA DE VASC                              </v>
          </cell>
        </row>
        <row r="642">
          <cell r="B642">
            <v>104</v>
          </cell>
          <cell r="C642" t="str">
            <v xml:space="preserve">JOSE BATISTA DE VASC                              </v>
          </cell>
        </row>
        <row r="643">
          <cell r="B643">
            <v>104</v>
          </cell>
          <cell r="C643" t="str">
            <v xml:space="preserve">JOSE BATISTA DE VASC                              </v>
          </cell>
        </row>
        <row r="644">
          <cell r="B644">
            <v>104</v>
          </cell>
          <cell r="C644" t="str">
            <v xml:space="preserve">JOSE BATISTA DE VASC                              </v>
          </cell>
        </row>
        <row r="645">
          <cell r="B645">
            <v>104</v>
          </cell>
          <cell r="C645" t="str">
            <v xml:space="preserve">JOSE BATISTA DE VASC                              </v>
          </cell>
        </row>
        <row r="646">
          <cell r="B646">
            <v>104</v>
          </cell>
          <cell r="C646" t="str">
            <v xml:space="preserve">JOSE BATISTA DE VASC                              </v>
          </cell>
        </row>
        <row r="647">
          <cell r="B647">
            <v>104</v>
          </cell>
          <cell r="C647" t="str">
            <v xml:space="preserve">JOSE BATISTA DE VASC                              </v>
          </cell>
        </row>
        <row r="648">
          <cell r="B648">
            <v>104</v>
          </cell>
          <cell r="C648" t="str">
            <v xml:space="preserve">JOSE BATISTA DE VASC                              </v>
          </cell>
        </row>
        <row r="649">
          <cell r="B649">
            <v>104</v>
          </cell>
          <cell r="C649" t="str">
            <v xml:space="preserve">JOSE BATISTA DE VASC                              </v>
          </cell>
        </row>
        <row r="650">
          <cell r="B650">
            <v>104</v>
          </cell>
          <cell r="C650" t="str">
            <v xml:space="preserve">JOSE BATISTA DE VASC                              </v>
          </cell>
        </row>
        <row r="651">
          <cell r="B651">
            <v>104</v>
          </cell>
          <cell r="C651" t="str">
            <v xml:space="preserve">JOSE BATISTA DE VASC                              </v>
          </cell>
        </row>
        <row r="652">
          <cell r="B652">
            <v>104</v>
          </cell>
          <cell r="C652" t="str">
            <v xml:space="preserve">JOSE BATISTA DE VASC                              </v>
          </cell>
        </row>
        <row r="653">
          <cell r="B653">
            <v>104</v>
          </cell>
          <cell r="C653" t="str">
            <v xml:space="preserve">JOSE BATISTA DE VASC                              </v>
          </cell>
        </row>
        <row r="654">
          <cell r="B654">
            <v>104</v>
          </cell>
          <cell r="C654" t="str">
            <v xml:space="preserve">JOSE BATISTA DE VASC                              </v>
          </cell>
        </row>
        <row r="655">
          <cell r="B655">
            <v>104</v>
          </cell>
          <cell r="C655" t="str">
            <v xml:space="preserve">JOSE BATISTA DE VASC                              </v>
          </cell>
        </row>
        <row r="656">
          <cell r="B656">
            <v>104</v>
          </cell>
          <cell r="C656" t="str">
            <v xml:space="preserve">JOSE BATISTA DE VASC                              </v>
          </cell>
        </row>
        <row r="657">
          <cell r="B657">
            <v>104</v>
          </cell>
          <cell r="C657" t="str">
            <v xml:space="preserve">JOSE BATISTA DE VASC                              </v>
          </cell>
        </row>
        <row r="658">
          <cell r="B658">
            <v>104</v>
          </cell>
          <cell r="C658" t="str">
            <v xml:space="preserve">JOSE BATISTA DE VASC                              </v>
          </cell>
        </row>
        <row r="659">
          <cell r="B659">
            <v>104</v>
          </cell>
          <cell r="C659" t="str">
            <v xml:space="preserve">JOSE BATISTA DE VASC                              </v>
          </cell>
        </row>
        <row r="660">
          <cell r="B660">
            <v>104</v>
          </cell>
          <cell r="C660" t="str">
            <v xml:space="preserve">JOSE BATISTA DE VASC                              </v>
          </cell>
        </row>
        <row r="661">
          <cell r="B661">
            <v>104</v>
          </cell>
          <cell r="C661" t="str">
            <v xml:space="preserve">JOSE BATISTA DE VASC                              </v>
          </cell>
        </row>
        <row r="662">
          <cell r="B662">
            <v>104</v>
          </cell>
          <cell r="C662" t="str">
            <v xml:space="preserve">JOSE BATISTA DE VASC                              </v>
          </cell>
        </row>
        <row r="663">
          <cell r="B663">
            <v>104</v>
          </cell>
          <cell r="C663" t="str">
            <v xml:space="preserve">JOSE BATISTA DE VASC                              </v>
          </cell>
        </row>
        <row r="664">
          <cell r="B664">
            <v>104</v>
          </cell>
          <cell r="C664" t="str">
            <v xml:space="preserve">JOSE BATISTA DE VASC                              </v>
          </cell>
        </row>
        <row r="665">
          <cell r="B665">
            <v>104</v>
          </cell>
          <cell r="C665" t="str">
            <v xml:space="preserve">JOSE BATISTA DE VASC                              </v>
          </cell>
        </row>
        <row r="666">
          <cell r="B666">
            <v>501</v>
          </cell>
          <cell r="C666" t="str">
            <v xml:space="preserve">ANDRE LUIZ MEDEIROS                               </v>
          </cell>
        </row>
        <row r="667">
          <cell r="B667">
            <v>511</v>
          </cell>
          <cell r="C667" t="str">
            <v xml:space="preserve">DANILO DE SOUZA LIRA                              </v>
          </cell>
        </row>
        <row r="668">
          <cell r="B668">
            <v>511</v>
          </cell>
          <cell r="C668" t="str">
            <v xml:space="preserve">DANILO DE SOUZA LIRA                              </v>
          </cell>
        </row>
        <row r="669">
          <cell r="B669">
            <v>511</v>
          </cell>
          <cell r="C669" t="str">
            <v xml:space="preserve">DANILO DE SOUZA LIRA                              </v>
          </cell>
        </row>
        <row r="670">
          <cell r="B670">
            <v>511</v>
          </cell>
          <cell r="C670" t="str">
            <v xml:space="preserve">DANILO DE SOUZA LIRA                              </v>
          </cell>
        </row>
        <row r="671">
          <cell r="B671">
            <v>511</v>
          </cell>
          <cell r="C671" t="str">
            <v xml:space="preserve">DANILO DE SOUZA LIRA                              </v>
          </cell>
        </row>
        <row r="672">
          <cell r="B672">
            <v>511</v>
          </cell>
          <cell r="C672" t="str">
            <v xml:space="preserve">DANILO DE SOUZA LIRA                              </v>
          </cell>
        </row>
        <row r="673">
          <cell r="B673">
            <v>511</v>
          </cell>
          <cell r="C673" t="str">
            <v xml:space="preserve">DANILO DE SOUZA LIRA                              </v>
          </cell>
        </row>
        <row r="674">
          <cell r="B674">
            <v>511</v>
          </cell>
          <cell r="C674" t="str">
            <v xml:space="preserve">DANILO DE SOUZA LIRA                              </v>
          </cell>
        </row>
        <row r="675">
          <cell r="B675">
            <v>511</v>
          </cell>
          <cell r="C675" t="str">
            <v xml:space="preserve">DANILO DE SOUZA LIRA                              </v>
          </cell>
        </row>
        <row r="676">
          <cell r="B676">
            <v>511</v>
          </cell>
          <cell r="C676" t="str">
            <v xml:space="preserve">DANILO DE SOUZA LIRA                              </v>
          </cell>
        </row>
        <row r="677">
          <cell r="B677">
            <v>511</v>
          </cell>
          <cell r="C677" t="str">
            <v xml:space="preserve">DANILO DE SOUZA LIRA                              </v>
          </cell>
        </row>
        <row r="678">
          <cell r="B678">
            <v>511</v>
          </cell>
          <cell r="C678" t="str">
            <v xml:space="preserve">DANILO DE SOUZA LIRA                              </v>
          </cell>
        </row>
        <row r="679">
          <cell r="B679">
            <v>511</v>
          </cell>
          <cell r="C679" t="str">
            <v xml:space="preserve">DANILO DE SOUZA LIRA                              </v>
          </cell>
        </row>
        <row r="680">
          <cell r="B680">
            <v>511</v>
          </cell>
          <cell r="C680" t="str">
            <v xml:space="preserve">DANILO DE SOUZA LIRA                              </v>
          </cell>
        </row>
        <row r="681">
          <cell r="B681">
            <v>511</v>
          </cell>
          <cell r="C681" t="str">
            <v xml:space="preserve">DANILO DE SOUZA LIRA                              </v>
          </cell>
        </row>
        <row r="682">
          <cell r="B682">
            <v>511</v>
          </cell>
          <cell r="C682" t="str">
            <v xml:space="preserve">DANILO DE SOUZA LIRA                              </v>
          </cell>
        </row>
        <row r="683">
          <cell r="B683">
            <v>511</v>
          </cell>
          <cell r="C683" t="str">
            <v xml:space="preserve">DANILO DE SOUZA LIRA                              </v>
          </cell>
        </row>
        <row r="684">
          <cell r="B684">
            <v>511</v>
          </cell>
          <cell r="C684" t="str">
            <v xml:space="preserve">DANILO DE SOUZA LIRA                              </v>
          </cell>
        </row>
        <row r="685">
          <cell r="B685">
            <v>511</v>
          </cell>
          <cell r="C685" t="str">
            <v xml:space="preserve">DANILO DE SOUZA LIRA                              </v>
          </cell>
        </row>
        <row r="686">
          <cell r="B686">
            <v>511</v>
          </cell>
          <cell r="C686" t="str">
            <v xml:space="preserve">DANILO DE SOUZA LIRA                              </v>
          </cell>
        </row>
        <row r="687">
          <cell r="B687">
            <v>511</v>
          </cell>
          <cell r="C687" t="str">
            <v xml:space="preserve">DANILO DE SOUZA LIRA                              </v>
          </cell>
        </row>
        <row r="688">
          <cell r="B688">
            <v>511</v>
          </cell>
          <cell r="C688" t="str">
            <v xml:space="preserve">DANILO DE SOUZA LIRA                              </v>
          </cell>
        </row>
        <row r="689">
          <cell r="B689">
            <v>511</v>
          </cell>
          <cell r="C689" t="str">
            <v xml:space="preserve">DANILO DE SOUZA LIRA                              </v>
          </cell>
        </row>
        <row r="690">
          <cell r="B690">
            <v>511</v>
          </cell>
          <cell r="C690" t="str">
            <v xml:space="preserve">DANILO DE SOUZA LIRA                              </v>
          </cell>
        </row>
        <row r="691">
          <cell r="B691">
            <v>511</v>
          </cell>
          <cell r="C691" t="str">
            <v xml:space="preserve">DANILO DE SOUZA LIRA                              </v>
          </cell>
        </row>
        <row r="692">
          <cell r="B692">
            <v>511</v>
          </cell>
          <cell r="C692" t="str">
            <v xml:space="preserve">DANILO DE SOUZA LIRA                              </v>
          </cell>
        </row>
        <row r="693">
          <cell r="B693">
            <v>511</v>
          </cell>
          <cell r="C693" t="str">
            <v xml:space="preserve">DANILO DE SOUZA LIRA                              </v>
          </cell>
        </row>
        <row r="694">
          <cell r="B694">
            <v>511</v>
          </cell>
          <cell r="C694" t="str">
            <v xml:space="preserve">DANILO DE SOUZA LIRA                              </v>
          </cell>
        </row>
        <row r="695">
          <cell r="B695">
            <v>511</v>
          </cell>
          <cell r="C695" t="str">
            <v xml:space="preserve">DANILO DE SOUZA LIRA                              </v>
          </cell>
        </row>
        <row r="696">
          <cell r="B696">
            <v>511</v>
          </cell>
          <cell r="C696" t="str">
            <v xml:space="preserve">DANILO DE SOUZA LIRA                              </v>
          </cell>
        </row>
        <row r="697">
          <cell r="B697">
            <v>511</v>
          </cell>
          <cell r="C697" t="str">
            <v xml:space="preserve">DANILO DE SOUZA LIRA                              </v>
          </cell>
        </row>
        <row r="698">
          <cell r="B698">
            <v>511</v>
          </cell>
          <cell r="C698" t="str">
            <v xml:space="preserve">DANILO DE SOUZA LIRA                              </v>
          </cell>
        </row>
        <row r="699">
          <cell r="B699">
            <v>511</v>
          </cell>
          <cell r="C699" t="str">
            <v xml:space="preserve">DANILO DE SOUZA LIRA                              </v>
          </cell>
        </row>
        <row r="700">
          <cell r="B700">
            <v>511</v>
          </cell>
          <cell r="C700" t="str">
            <v xml:space="preserve">DANILO DE SOUZA LIRA                              </v>
          </cell>
        </row>
        <row r="701">
          <cell r="B701">
            <v>511</v>
          </cell>
          <cell r="C701" t="str">
            <v xml:space="preserve">DANILO DE SOUZA LIRA                              </v>
          </cell>
        </row>
        <row r="702">
          <cell r="B702">
            <v>511</v>
          </cell>
          <cell r="C702" t="str">
            <v xml:space="preserve">DANILO DE SOUZA LIRA                              </v>
          </cell>
        </row>
        <row r="703">
          <cell r="B703">
            <v>511</v>
          </cell>
          <cell r="C703" t="str">
            <v xml:space="preserve">DANILO DE SOUZA LIRA                              </v>
          </cell>
        </row>
        <row r="704">
          <cell r="B704">
            <v>511</v>
          </cell>
          <cell r="C704" t="str">
            <v xml:space="preserve">DANILO DE SOUZA LIRA                              </v>
          </cell>
        </row>
        <row r="705">
          <cell r="B705">
            <v>511</v>
          </cell>
          <cell r="C705" t="str">
            <v xml:space="preserve">DANILO DE SOUZA LIRA                              </v>
          </cell>
        </row>
        <row r="706">
          <cell r="B706">
            <v>511</v>
          </cell>
          <cell r="C706" t="str">
            <v xml:space="preserve">DANILO DE SOUZA LIRA                              </v>
          </cell>
        </row>
        <row r="707">
          <cell r="B707">
            <v>511</v>
          </cell>
          <cell r="C707" t="str">
            <v xml:space="preserve">DANILO DE SOUZA LIRA                              </v>
          </cell>
        </row>
        <row r="708">
          <cell r="B708">
            <v>511</v>
          </cell>
          <cell r="C708" t="str">
            <v xml:space="preserve">DANILO DE SOUZA LIRA                              </v>
          </cell>
        </row>
        <row r="709">
          <cell r="B709">
            <v>511</v>
          </cell>
          <cell r="C709" t="str">
            <v xml:space="preserve">DANILO DE SOUZA LIRA                              </v>
          </cell>
        </row>
        <row r="710">
          <cell r="B710">
            <v>511</v>
          </cell>
          <cell r="C710" t="str">
            <v xml:space="preserve">DANILO DE SOUZA LIRA                              </v>
          </cell>
        </row>
        <row r="711">
          <cell r="B711">
            <v>511</v>
          </cell>
          <cell r="C711" t="str">
            <v xml:space="preserve">DANILO DE SOUZA LIRA                              </v>
          </cell>
        </row>
        <row r="712">
          <cell r="B712">
            <v>511</v>
          </cell>
          <cell r="C712" t="str">
            <v xml:space="preserve">DANILO DE SOUZA LIRA                              </v>
          </cell>
        </row>
        <row r="713">
          <cell r="B713">
            <v>511</v>
          </cell>
          <cell r="C713" t="str">
            <v xml:space="preserve">DANILO DE SOUZA LIRA                              </v>
          </cell>
        </row>
        <row r="714">
          <cell r="B714">
            <v>511</v>
          </cell>
          <cell r="C714" t="str">
            <v xml:space="preserve">DANILO DE SOUZA LIRA                              </v>
          </cell>
        </row>
        <row r="715">
          <cell r="B715">
            <v>511</v>
          </cell>
          <cell r="C715" t="str">
            <v xml:space="preserve">DANILO DE SOUZA LIRA                              </v>
          </cell>
        </row>
        <row r="716">
          <cell r="B716">
            <v>511</v>
          </cell>
          <cell r="C716" t="str">
            <v xml:space="preserve">DANILO DE SOUZA LIRA                              </v>
          </cell>
        </row>
        <row r="717">
          <cell r="B717">
            <v>511</v>
          </cell>
          <cell r="C717" t="str">
            <v xml:space="preserve">DANILO DE SOUZA LIRA                              </v>
          </cell>
        </row>
        <row r="718">
          <cell r="B718">
            <v>511</v>
          </cell>
          <cell r="C718" t="str">
            <v xml:space="preserve">DANILO DE SOUZA LIRA                              </v>
          </cell>
        </row>
        <row r="719">
          <cell r="B719">
            <v>511</v>
          </cell>
          <cell r="C719" t="str">
            <v xml:space="preserve">DANILO DE SOUZA LIRA                              </v>
          </cell>
        </row>
        <row r="720">
          <cell r="B720">
            <v>511</v>
          </cell>
          <cell r="C720" t="str">
            <v xml:space="preserve">DANILO DE SOUZA LIRA                              </v>
          </cell>
        </row>
        <row r="721">
          <cell r="B721">
            <v>511</v>
          </cell>
          <cell r="C721" t="str">
            <v xml:space="preserve">DANILO DE SOUZA LIRA                              </v>
          </cell>
        </row>
        <row r="722">
          <cell r="B722">
            <v>511</v>
          </cell>
          <cell r="C722" t="str">
            <v xml:space="preserve">DANILO DE SOUZA LIRA                              </v>
          </cell>
        </row>
        <row r="723">
          <cell r="B723">
            <v>511</v>
          </cell>
          <cell r="C723" t="str">
            <v xml:space="preserve">DANILO DE SOUZA LIRA                              </v>
          </cell>
        </row>
        <row r="724">
          <cell r="B724">
            <v>511</v>
          </cell>
          <cell r="C724" t="str">
            <v xml:space="preserve">DANILO DE SOUZA LIRA                              </v>
          </cell>
        </row>
        <row r="725">
          <cell r="B725">
            <v>511</v>
          </cell>
          <cell r="C725" t="str">
            <v xml:space="preserve">DANILO DE SOUZA LIRA                              </v>
          </cell>
        </row>
        <row r="726">
          <cell r="B726">
            <v>511</v>
          </cell>
          <cell r="C726" t="str">
            <v xml:space="preserve">DANILO DE SOUZA LIRA                              </v>
          </cell>
        </row>
        <row r="727">
          <cell r="B727">
            <v>511</v>
          </cell>
          <cell r="C727" t="str">
            <v xml:space="preserve">DANILO DE SOUZA LIRA                              </v>
          </cell>
        </row>
        <row r="728">
          <cell r="B728">
            <v>511</v>
          </cell>
          <cell r="C728" t="str">
            <v xml:space="preserve">DANILO DE SOUZA LIRA                              </v>
          </cell>
        </row>
        <row r="729">
          <cell r="B729">
            <v>511</v>
          </cell>
          <cell r="C729" t="str">
            <v xml:space="preserve">DANILO DE SOUZA LIRA                              </v>
          </cell>
        </row>
        <row r="730">
          <cell r="B730">
            <v>511</v>
          </cell>
          <cell r="C730" t="str">
            <v xml:space="preserve">DANILO DE SOUZA LIRA                              </v>
          </cell>
        </row>
        <row r="731">
          <cell r="B731">
            <v>511</v>
          </cell>
          <cell r="C731" t="str">
            <v xml:space="preserve">DANILO DE SOUZA LIRA                              </v>
          </cell>
        </row>
        <row r="732">
          <cell r="B732">
            <v>511</v>
          </cell>
          <cell r="C732" t="str">
            <v xml:space="preserve">DANILO DE SOUZA LIRA                              </v>
          </cell>
        </row>
        <row r="733">
          <cell r="B733">
            <v>511</v>
          </cell>
          <cell r="C733" t="str">
            <v xml:space="preserve">DANILO DE SOUZA LIRA                              </v>
          </cell>
        </row>
        <row r="734">
          <cell r="B734">
            <v>511</v>
          </cell>
          <cell r="C734" t="str">
            <v xml:space="preserve">DANILO DE SOUZA LIRA                              </v>
          </cell>
        </row>
        <row r="735">
          <cell r="B735">
            <v>511</v>
          </cell>
          <cell r="C735" t="str">
            <v xml:space="preserve">DANILO DE SOUZA LIRA                              </v>
          </cell>
        </row>
        <row r="736">
          <cell r="B736">
            <v>511</v>
          </cell>
          <cell r="C736" t="str">
            <v xml:space="preserve">DANILO DE SOUZA LIRA                              </v>
          </cell>
        </row>
        <row r="737">
          <cell r="B737">
            <v>511</v>
          </cell>
          <cell r="C737" t="str">
            <v xml:space="preserve">DANILO DE SOUZA LIRA                              </v>
          </cell>
        </row>
        <row r="738">
          <cell r="B738">
            <v>511</v>
          </cell>
          <cell r="C738" t="str">
            <v xml:space="preserve">DANILO DE SOUZA LIRA                              </v>
          </cell>
        </row>
        <row r="739">
          <cell r="B739">
            <v>511</v>
          </cell>
          <cell r="C739" t="str">
            <v xml:space="preserve">DANILO DE SOUZA LIRA                              </v>
          </cell>
        </row>
        <row r="740">
          <cell r="B740">
            <v>511</v>
          </cell>
          <cell r="C740" t="str">
            <v xml:space="preserve">DANILO DE SOUZA LIRA                              </v>
          </cell>
        </row>
        <row r="741">
          <cell r="B741">
            <v>511</v>
          </cell>
          <cell r="C741" t="str">
            <v xml:space="preserve">DANILO DE SOUZA LIRA                              </v>
          </cell>
        </row>
        <row r="742">
          <cell r="B742">
            <v>511</v>
          </cell>
          <cell r="C742" t="str">
            <v xml:space="preserve">DANILO DE SOUZA LIRA                              </v>
          </cell>
        </row>
        <row r="743">
          <cell r="B743">
            <v>511</v>
          </cell>
          <cell r="C743" t="str">
            <v xml:space="preserve">DANILO DE SOUZA LIRA                              </v>
          </cell>
        </row>
        <row r="744">
          <cell r="B744">
            <v>511</v>
          </cell>
          <cell r="C744" t="str">
            <v xml:space="preserve">DANILO DE SOUZA LIRA                              </v>
          </cell>
        </row>
        <row r="745">
          <cell r="B745">
            <v>511</v>
          </cell>
          <cell r="C745" t="str">
            <v xml:space="preserve">DANILO DE SOUZA LIRA                              </v>
          </cell>
        </row>
        <row r="746">
          <cell r="B746">
            <v>511</v>
          </cell>
          <cell r="C746" t="str">
            <v xml:space="preserve">DANILO DE SOUZA LIRA                              </v>
          </cell>
        </row>
        <row r="747">
          <cell r="B747">
            <v>511</v>
          </cell>
          <cell r="C747" t="str">
            <v xml:space="preserve">DANILO DE SOUZA LIRA                              </v>
          </cell>
        </row>
        <row r="748">
          <cell r="B748">
            <v>511</v>
          </cell>
          <cell r="C748" t="str">
            <v xml:space="preserve">DANILO DE SOUZA LIRA                              </v>
          </cell>
        </row>
        <row r="749">
          <cell r="B749">
            <v>511</v>
          </cell>
          <cell r="C749" t="str">
            <v xml:space="preserve">DANILO DE SOUZA LIRA                              </v>
          </cell>
        </row>
        <row r="750">
          <cell r="B750">
            <v>511</v>
          </cell>
          <cell r="C750" t="str">
            <v xml:space="preserve">DANILO DE SOUZA LIRA                              </v>
          </cell>
        </row>
        <row r="751">
          <cell r="B751">
            <v>511</v>
          </cell>
          <cell r="C751" t="str">
            <v xml:space="preserve">DANILO DE SOUZA LIRA                              </v>
          </cell>
        </row>
        <row r="752">
          <cell r="B752">
            <v>511</v>
          </cell>
          <cell r="C752" t="str">
            <v xml:space="preserve">DANILO DE SOUZA LIRA                              </v>
          </cell>
        </row>
        <row r="753">
          <cell r="B753">
            <v>511</v>
          </cell>
          <cell r="C753" t="str">
            <v xml:space="preserve">DANILO DE SOUZA LIRA                              </v>
          </cell>
        </row>
        <row r="754">
          <cell r="B754">
            <v>511</v>
          </cell>
          <cell r="C754" t="str">
            <v xml:space="preserve">DANILO DE SOUZA LIRA                              </v>
          </cell>
        </row>
        <row r="755">
          <cell r="B755">
            <v>511</v>
          </cell>
          <cell r="C755" t="str">
            <v xml:space="preserve">DANILO DE SOUZA LIRA                              </v>
          </cell>
        </row>
        <row r="756">
          <cell r="B756">
            <v>511</v>
          </cell>
          <cell r="C756" t="str">
            <v xml:space="preserve">DANILO DE SOUZA LIRA                              </v>
          </cell>
        </row>
        <row r="757">
          <cell r="B757">
            <v>511</v>
          </cell>
          <cell r="C757" t="str">
            <v xml:space="preserve">DANILO DE SOUZA LIRA                              </v>
          </cell>
        </row>
        <row r="758">
          <cell r="B758">
            <v>511</v>
          </cell>
          <cell r="C758" t="str">
            <v xml:space="preserve">DANILO DE SOUZA LIRA                              </v>
          </cell>
        </row>
        <row r="759">
          <cell r="B759">
            <v>511</v>
          </cell>
          <cell r="C759" t="str">
            <v xml:space="preserve">DANILO DE SOUZA LIRA                              </v>
          </cell>
        </row>
        <row r="760">
          <cell r="B760">
            <v>511</v>
          </cell>
          <cell r="C760" t="str">
            <v xml:space="preserve">DANILO DE SOUZA LIRA                              </v>
          </cell>
        </row>
        <row r="761">
          <cell r="B761">
            <v>511</v>
          </cell>
          <cell r="C761" t="str">
            <v xml:space="preserve">DANILO DE SOUZA LIRA                              </v>
          </cell>
        </row>
        <row r="762">
          <cell r="B762">
            <v>511</v>
          </cell>
          <cell r="C762" t="str">
            <v xml:space="preserve">DANILO DE SOUZA LIRA                              </v>
          </cell>
        </row>
        <row r="763">
          <cell r="B763">
            <v>511</v>
          </cell>
          <cell r="C763" t="str">
            <v xml:space="preserve">DANILO DE SOUZA LIRA                              </v>
          </cell>
        </row>
        <row r="764">
          <cell r="B764">
            <v>511</v>
          </cell>
          <cell r="C764" t="str">
            <v xml:space="preserve">DANILO DE SOUZA LIRA                              </v>
          </cell>
        </row>
        <row r="765">
          <cell r="B765">
            <v>511</v>
          </cell>
          <cell r="C765" t="str">
            <v xml:space="preserve">DANILO DE SOUZA LIRA                              </v>
          </cell>
        </row>
        <row r="766">
          <cell r="B766">
            <v>511</v>
          </cell>
          <cell r="C766" t="str">
            <v xml:space="preserve">DANILO DE SOUZA LIRA                              </v>
          </cell>
        </row>
        <row r="767">
          <cell r="B767">
            <v>511</v>
          </cell>
          <cell r="C767" t="str">
            <v xml:space="preserve">DANILO DE SOUZA LIRA                              </v>
          </cell>
        </row>
        <row r="768">
          <cell r="B768">
            <v>511</v>
          </cell>
          <cell r="C768" t="str">
            <v xml:space="preserve">DANILO DE SOUZA LIRA                              </v>
          </cell>
        </row>
        <row r="769">
          <cell r="B769">
            <v>511</v>
          </cell>
          <cell r="C769" t="str">
            <v xml:space="preserve">DANILO DE SOUZA LIRA                              </v>
          </cell>
        </row>
        <row r="770">
          <cell r="B770">
            <v>511</v>
          </cell>
          <cell r="C770" t="str">
            <v xml:space="preserve">DANILO DE SOUZA LIRA                              </v>
          </cell>
        </row>
        <row r="771">
          <cell r="B771">
            <v>511</v>
          </cell>
          <cell r="C771" t="str">
            <v xml:space="preserve">DANILO DE SOUZA LIRA                              </v>
          </cell>
        </row>
        <row r="772">
          <cell r="B772">
            <v>511</v>
          </cell>
          <cell r="C772" t="str">
            <v xml:space="preserve">DANILO DE SOUZA LIRA                              </v>
          </cell>
        </row>
        <row r="773">
          <cell r="B773">
            <v>511</v>
          </cell>
          <cell r="C773" t="str">
            <v xml:space="preserve">DANILO DE SOUZA LIRA                              </v>
          </cell>
        </row>
        <row r="774">
          <cell r="B774">
            <v>511</v>
          </cell>
          <cell r="C774" t="str">
            <v xml:space="preserve">DANILO DE SOUZA LIRA                              </v>
          </cell>
        </row>
        <row r="775">
          <cell r="B775">
            <v>511</v>
          </cell>
          <cell r="C775" t="str">
            <v xml:space="preserve">DANILO DE SOUZA LIRA                              </v>
          </cell>
        </row>
        <row r="776">
          <cell r="B776">
            <v>511</v>
          </cell>
          <cell r="C776" t="str">
            <v xml:space="preserve">DANILO DE SOUZA LIRA                              </v>
          </cell>
        </row>
        <row r="777">
          <cell r="B777">
            <v>511</v>
          </cell>
          <cell r="C777" t="str">
            <v xml:space="preserve">DANILO DE SOUZA LIRA                              </v>
          </cell>
        </row>
        <row r="778">
          <cell r="B778">
            <v>511</v>
          </cell>
          <cell r="C778" t="str">
            <v xml:space="preserve">DANILO DE SOUZA LIRA                              </v>
          </cell>
        </row>
        <row r="779">
          <cell r="B779">
            <v>511</v>
          </cell>
          <cell r="C779" t="str">
            <v xml:space="preserve">DANILO DE SOUZA LIRA                              </v>
          </cell>
        </row>
        <row r="780">
          <cell r="B780">
            <v>511</v>
          </cell>
          <cell r="C780" t="str">
            <v xml:space="preserve">DANILO DE SOUZA LIRA                              </v>
          </cell>
        </row>
        <row r="781">
          <cell r="B781">
            <v>511</v>
          </cell>
          <cell r="C781" t="str">
            <v xml:space="preserve">DANILO DE SOUZA LIRA                              </v>
          </cell>
        </row>
        <row r="782">
          <cell r="B782">
            <v>511</v>
          </cell>
          <cell r="C782" t="str">
            <v xml:space="preserve">DANILO DE SOUZA LIRA                              </v>
          </cell>
        </row>
        <row r="783">
          <cell r="B783">
            <v>511</v>
          </cell>
          <cell r="C783" t="str">
            <v xml:space="preserve">DANILO DE SOUZA LIRA                              </v>
          </cell>
        </row>
        <row r="784">
          <cell r="B784">
            <v>511</v>
          </cell>
          <cell r="C784" t="str">
            <v xml:space="preserve">DANILO DE SOUZA LIRA                              </v>
          </cell>
        </row>
        <row r="785">
          <cell r="B785">
            <v>511</v>
          </cell>
          <cell r="C785" t="str">
            <v xml:space="preserve">DANILO DE SOUZA LIRA                              </v>
          </cell>
        </row>
        <row r="786">
          <cell r="B786">
            <v>511</v>
          </cell>
          <cell r="C786" t="str">
            <v xml:space="preserve">DANILO DE SOUZA LIRA                              </v>
          </cell>
        </row>
        <row r="787">
          <cell r="B787">
            <v>511</v>
          </cell>
          <cell r="C787" t="str">
            <v xml:space="preserve">DANILO DE SOUZA LIRA                              </v>
          </cell>
        </row>
        <row r="788">
          <cell r="B788">
            <v>511</v>
          </cell>
          <cell r="C788" t="str">
            <v xml:space="preserve">DANILO DE SOUZA LIRA                              </v>
          </cell>
        </row>
        <row r="789">
          <cell r="B789">
            <v>511</v>
          </cell>
          <cell r="C789" t="str">
            <v xml:space="preserve">DANILO DE SOUZA LIRA                              </v>
          </cell>
        </row>
        <row r="790">
          <cell r="B790">
            <v>511</v>
          </cell>
          <cell r="C790" t="str">
            <v xml:space="preserve">DANILO DE SOUZA LIRA                              </v>
          </cell>
        </row>
        <row r="791">
          <cell r="B791">
            <v>511</v>
          </cell>
          <cell r="C791" t="str">
            <v xml:space="preserve">DANILO DE SOUZA LIRA                              </v>
          </cell>
        </row>
        <row r="792">
          <cell r="B792">
            <v>511</v>
          </cell>
          <cell r="C792" t="str">
            <v xml:space="preserve">DANILO DE SOUZA LIRA                              </v>
          </cell>
        </row>
        <row r="793">
          <cell r="B793">
            <v>511</v>
          </cell>
          <cell r="C793" t="str">
            <v xml:space="preserve">DANILO DE SOUZA LIRA                              </v>
          </cell>
        </row>
        <row r="794">
          <cell r="B794">
            <v>511</v>
          </cell>
          <cell r="C794" t="str">
            <v xml:space="preserve">DANILO DE SOUZA LIRA                              </v>
          </cell>
        </row>
        <row r="795">
          <cell r="B795">
            <v>511</v>
          </cell>
          <cell r="C795" t="str">
            <v xml:space="preserve">DANILO DE SOUZA LIRA                              </v>
          </cell>
        </row>
        <row r="796">
          <cell r="B796">
            <v>511</v>
          </cell>
          <cell r="C796" t="str">
            <v xml:space="preserve">DANILO DE SOUZA LIRA                              </v>
          </cell>
        </row>
        <row r="797">
          <cell r="B797">
            <v>511</v>
          </cell>
          <cell r="C797" t="str">
            <v xml:space="preserve">DANILO DE SOUZA LIRA                              </v>
          </cell>
        </row>
        <row r="798">
          <cell r="B798">
            <v>511</v>
          </cell>
          <cell r="C798" t="str">
            <v xml:space="preserve">DANILO DE SOUZA LIRA                              </v>
          </cell>
        </row>
        <row r="799">
          <cell r="B799">
            <v>511</v>
          </cell>
          <cell r="C799" t="str">
            <v xml:space="preserve">DANILO DE SOUZA LIRA                              </v>
          </cell>
        </row>
        <row r="800">
          <cell r="B800">
            <v>511</v>
          </cell>
          <cell r="C800" t="str">
            <v xml:space="preserve">DANILO DE SOUZA LIRA                              </v>
          </cell>
        </row>
        <row r="801">
          <cell r="B801">
            <v>511</v>
          </cell>
          <cell r="C801" t="str">
            <v xml:space="preserve">DANILO DE SOUZA LIRA                              </v>
          </cell>
        </row>
        <row r="802">
          <cell r="B802">
            <v>511</v>
          </cell>
          <cell r="C802" t="str">
            <v xml:space="preserve">DANILO DE SOUZA LIRA                              </v>
          </cell>
        </row>
        <row r="803">
          <cell r="B803">
            <v>511</v>
          </cell>
          <cell r="C803" t="str">
            <v xml:space="preserve">DANILO DE SOUZA LIRA                              </v>
          </cell>
        </row>
        <row r="804">
          <cell r="B804">
            <v>511</v>
          </cell>
          <cell r="C804" t="str">
            <v xml:space="preserve">DANILO DE SOUZA LIRA                              </v>
          </cell>
        </row>
        <row r="805">
          <cell r="B805">
            <v>511</v>
          </cell>
          <cell r="C805" t="str">
            <v xml:space="preserve">DANILO DE SOUZA LIRA                              </v>
          </cell>
        </row>
        <row r="806">
          <cell r="B806">
            <v>511</v>
          </cell>
          <cell r="C806" t="str">
            <v xml:space="preserve">DANILO DE SOUZA LIRA                              </v>
          </cell>
        </row>
        <row r="807">
          <cell r="B807">
            <v>511</v>
          </cell>
          <cell r="C807" t="str">
            <v xml:space="preserve">DANILO DE SOUZA LIRA                              </v>
          </cell>
        </row>
        <row r="808">
          <cell r="B808">
            <v>511</v>
          </cell>
          <cell r="C808" t="str">
            <v xml:space="preserve">DANILO DE SOUZA LIRA                              </v>
          </cell>
        </row>
        <row r="809">
          <cell r="B809">
            <v>511</v>
          </cell>
          <cell r="C809" t="str">
            <v xml:space="preserve">DANILO DE SOUZA LIRA                              </v>
          </cell>
        </row>
        <row r="810">
          <cell r="B810">
            <v>511</v>
          </cell>
          <cell r="C810" t="str">
            <v xml:space="preserve">DANILO DE SOUZA LIRA                              </v>
          </cell>
        </row>
        <row r="811">
          <cell r="B811">
            <v>511</v>
          </cell>
          <cell r="C811" t="str">
            <v xml:space="preserve">DANILO DE SOUZA LIRA                              </v>
          </cell>
        </row>
        <row r="812">
          <cell r="B812">
            <v>511</v>
          </cell>
          <cell r="C812" t="str">
            <v xml:space="preserve">DANILO DE SOUZA LIRA                              </v>
          </cell>
        </row>
        <row r="813">
          <cell r="B813">
            <v>511</v>
          </cell>
          <cell r="C813" t="str">
            <v xml:space="preserve">DANILO DE SOUZA LIRA                              </v>
          </cell>
        </row>
        <row r="814">
          <cell r="B814">
            <v>511</v>
          </cell>
          <cell r="C814" t="str">
            <v xml:space="preserve">DANILO DE SOUZA LIRA                              </v>
          </cell>
        </row>
        <row r="815">
          <cell r="B815">
            <v>511</v>
          </cell>
          <cell r="C815" t="str">
            <v xml:space="preserve">DANILO DE SOUZA LIRA                              </v>
          </cell>
        </row>
        <row r="816">
          <cell r="B816">
            <v>511</v>
          </cell>
          <cell r="C816" t="str">
            <v xml:space="preserve">DANILO DE SOUZA LIRA                              </v>
          </cell>
        </row>
        <row r="817">
          <cell r="B817">
            <v>511</v>
          </cell>
          <cell r="C817" t="str">
            <v xml:space="preserve">DANILO DE SOUZA LIRA                              </v>
          </cell>
        </row>
        <row r="818">
          <cell r="B818">
            <v>511</v>
          </cell>
          <cell r="C818" t="str">
            <v xml:space="preserve">DANILO DE SOUZA LIRA                              </v>
          </cell>
        </row>
        <row r="819">
          <cell r="B819">
            <v>511</v>
          </cell>
          <cell r="C819" t="str">
            <v xml:space="preserve">DANILO DE SOUZA LIRA                              </v>
          </cell>
        </row>
        <row r="820">
          <cell r="B820">
            <v>511</v>
          </cell>
          <cell r="C820" t="str">
            <v xml:space="preserve">DANILO DE SOUZA LIRA                              </v>
          </cell>
        </row>
        <row r="821">
          <cell r="B821">
            <v>511</v>
          </cell>
          <cell r="C821" t="str">
            <v xml:space="preserve">DANILO DE SOUZA LIRA                              </v>
          </cell>
        </row>
        <row r="822">
          <cell r="B822">
            <v>511</v>
          </cell>
          <cell r="C822" t="str">
            <v xml:space="preserve">DANILO DE SOUZA LIRA                              </v>
          </cell>
        </row>
        <row r="823">
          <cell r="B823">
            <v>511</v>
          </cell>
          <cell r="C823" t="str">
            <v xml:space="preserve">DANILO DE SOUZA LIRA                              </v>
          </cell>
        </row>
        <row r="824">
          <cell r="B824">
            <v>511</v>
          </cell>
          <cell r="C824" t="str">
            <v xml:space="preserve">DANILO DE SOUZA LIRA                              </v>
          </cell>
        </row>
        <row r="825">
          <cell r="B825">
            <v>511</v>
          </cell>
          <cell r="C825" t="str">
            <v xml:space="preserve">DANILO DE SOUZA LIRA                              </v>
          </cell>
        </row>
        <row r="826">
          <cell r="B826">
            <v>511</v>
          </cell>
          <cell r="C826" t="str">
            <v xml:space="preserve">DANILO DE SOUZA LIRA                              </v>
          </cell>
        </row>
        <row r="827">
          <cell r="B827">
            <v>511</v>
          </cell>
          <cell r="C827" t="str">
            <v xml:space="preserve">DANILO DE SOUZA LIRA                              </v>
          </cell>
        </row>
        <row r="828">
          <cell r="B828">
            <v>511</v>
          </cell>
          <cell r="C828" t="str">
            <v xml:space="preserve">DANILO DE SOUZA LIRA                              </v>
          </cell>
        </row>
        <row r="829">
          <cell r="B829">
            <v>511</v>
          </cell>
          <cell r="C829" t="str">
            <v xml:space="preserve">DANILO DE SOUZA LIRA                              </v>
          </cell>
        </row>
        <row r="830">
          <cell r="B830">
            <v>511</v>
          </cell>
          <cell r="C830" t="str">
            <v xml:space="preserve">DANILO DE SOUZA LIRA                              </v>
          </cell>
        </row>
        <row r="831">
          <cell r="B831">
            <v>511</v>
          </cell>
          <cell r="C831" t="str">
            <v xml:space="preserve">DANILO DE SOUZA LIRA                              </v>
          </cell>
        </row>
        <row r="832">
          <cell r="B832">
            <v>511</v>
          </cell>
          <cell r="C832" t="str">
            <v xml:space="preserve">DANILO DE SOUZA LIRA                              </v>
          </cell>
        </row>
        <row r="833">
          <cell r="B833">
            <v>511</v>
          </cell>
          <cell r="C833" t="str">
            <v xml:space="preserve">DANILO DE SOUZA LIRA                              </v>
          </cell>
        </row>
        <row r="834">
          <cell r="B834">
            <v>511</v>
          </cell>
          <cell r="C834" t="str">
            <v xml:space="preserve">DANILO DE SOUZA LIRA                              </v>
          </cell>
        </row>
        <row r="835">
          <cell r="B835">
            <v>511</v>
          </cell>
          <cell r="C835" t="str">
            <v xml:space="preserve">DANILO DE SOUZA LIRA                              </v>
          </cell>
        </row>
        <row r="836">
          <cell r="B836">
            <v>511</v>
          </cell>
          <cell r="C836" t="str">
            <v xml:space="preserve">DANILO DE SOUZA LIRA                              </v>
          </cell>
        </row>
        <row r="837">
          <cell r="B837">
            <v>511</v>
          </cell>
          <cell r="C837" t="str">
            <v xml:space="preserve">DANILO DE SOUZA LIRA                              </v>
          </cell>
        </row>
        <row r="838">
          <cell r="B838">
            <v>511</v>
          </cell>
          <cell r="C838" t="str">
            <v xml:space="preserve">DANILO DE SOUZA LIRA                              </v>
          </cell>
        </row>
        <row r="839">
          <cell r="B839">
            <v>511</v>
          </cell>
          <cell r="C839" t="str">
            <v xml:space="preserve">DANILO DE SOUZA LIRA                              </v>
          </cell>
        </row>
        <row r="840">
          <cell r="B840">
            <v>511</v>
          </cell>
          <cell r="C840" t="str">
            <v xml:space="preserve">DANILO DE SOUZA LIRA                              </v>
          </cell>
        </row>
        <row r="841">
          <cell r="B841">
            <v>511</v>
          </cell>
          <cell r="C841" t="str">
            <v xml:space="preserve">DANILO DE SOUZA LIRA                              </v>
          </cell>
        </row>
        <row r="842">
          <cell r="B842">
            <v>511</v>
          </cell>
          <cell r="C842" t="str">
            <v xml:space="preserve">DANILO DE SOUZA LIRA                              </v>
          </cell>
        </row>
        <row r="843">
          <cell r="B843">
            <v>511</v>
          </cell>
          <cell r="C843" t="str">
            <v xml:space="preserve">DANILO DE SOUZA LIRA                              </v>
          </cell>
        </row>
        <row r="844">
          <cell r="B844">
            <v>511</v>
          </cell>
          <cell r="C844" t="str">
            <v xml:space="preserve">DANILO DE SOUZA LIRA                              </v>
          </cell>
        </row>
        <row r="845">
          <cell r="B845">
            <v>511</v>
          </cell>
          <cell r="C845" t="str">
            <v xml:space="preserve">DANILO DE SOUZA LIRA                              </v>
          </cell>
        </row>
        <row r="846">
          <cell r="B846">
            <v>511</v>
          </cell>
          <cell r="C846" t="str">
            <v xml:space="preserve">DANILO DE SOUZA LIRA                              </v>
          </cell>
        </row>
        <row r="847">
          <cell r="B847">
            <v>511</v>
          </cell>
          <cell r="C847" t="str">
            <v xml:space="preserve">DANILO DE SOUZA LIRA                              </v>
          </cell>
        </row>
        <row r="848">
          <cell r="B848">
            <v>511</v>
          </cell>
          <cell r="C848" t="str">
            <v xml:space="preserve">DANILO DE SOUZA LIRA                              </v>
          </cell>
        </row>
        <row r="849">
          <cell r="B849">
            <v>511</v>
          </cell>
          <cell r="C849" t="str">
            <v xml:space="preserve">DANILO DE SOUZA LIRA                              </v>
          </cell>
        </row>
        <row r="850">
          <cell r="B850">
            <v>511</v>
          </cell>
          <cell r="C850" t="str">
            <v xml:space="preserve">DANILO DE SOUZA LIRA                              </v>
          </cell>
        </row>
        <row r="851">
          <cell r="B851">
            <v>511</v>
          </cell>
          <cell r="C851" t="str">
            <v xml:space="preserve">DANILO DE SOUZA LIRA                              </v>
          </cell>
        </row>
        <row r="852">
          <cell r="B852">
            <v>511</v>
          </cell>
          <cell r="C852" t="str">
            <v xml:space="preserve">DANILO DE SOUZA LIRA                              </v>
          </cell>
        </row>
        <row r="853">
          <cell r="B853">
            <v>511</v>
          </cell>
          <cell r="C853" t="str">
            <v xml:space="preserve">DANILO DE SOUZA LIRA                              </v>
          </cell>
        </row>
        <row r="854">
          <cell r="B854">
            <v>511</v>
          </cell>
          <cell r="C854" t="str">
            <v xml:space="preserve">DANILO DE SOUZA LIRA                              </v>
          </cell>
        </row>
        <row r="855">
          <cell r="B855">
            <v>511</v>
          </cell>
          <cell r="C855" t="str">
            <v xml:space="preserve">DANILO DE SOUZA LIRA                              </v>
          </cell>
        </row>
        <row r="856">
          <cell r="B856">
            <v>511</v>
          </cell>
          <cell r="C856" t="str">
            <v xml:space="preserve">DANILO DE SOUZA LIRA                              </v>
          </cell>
        </row>
        <row r="857">
          <cell r="B857">
            <v>511</v>
          </cell>
          <cell r="C857" t="str">
            <v xml:space="preserve">DANILO DE SOUZA LIRA                              </v>
          </cell>
        </row>
        <row r="858">
          <cell r="B858">
            <v>511</v>
          </cell>
          <cell r="C858" t="str">
            <v xml:space="preserve">DANILO DE SOUZA LIRA                              </v>
          </cell>
        </row>
        <row r="859">
          <cell r="B859">
            <v>511</v>
          </cell>
          <cell r="C859" t="str">
            <v xml:space="preserve">DANILO DE SOUZA LIRA                              </v>
          </cell>
        </row>
        <row r="860">
          <cell r="B860">
            <v>511</v>
          </cell>
          <cell r="C860" t="str">
            <v xml:space="preserve">DANILO DE SOUZA LIRA                              </v>
          </cell>
        </row>
        <row r="861">
          <cell r="B861">
            <v>511</v>
          </cell>
          <cell r="C861" t="str">
            <v xml:space="preserve">DANILO DE SOUZA LIRA                              </v>
          </cell>
        </row>
        <row r="862">
          <cell r="B862">
            <v>511</v>
          </cell>
          <cell r="C862" t="str">
            <v xml:space="preserve">DANILO DE SOUZA LIRA                              </v>
          </cell>
        </row>
        <row r="863">
          <cell r="B863">
            <v>511</v>
          </cell>
          <cell r="C863" t="str">
            <v xml:space="preserve">DANILO DE SOUZA LIRA                              </v>
          </cell>
        </row>
        <row r="864">
          <cell r="B864">
            <v>512</v>
          </cell>
          <cell r="C864" t="str">
            <v xml:space="preserve">KELVIA MARIA ARAUJO                               </v>
          </cell>
        </row>
        <row r="865">
          <cell r="B865">
            <v>512</v>
          </cell>
          <cell r="C865" t="str">
            <v xml:space="preserve">KELVIA MARIA ARAUJO                               </v>
          </cell>
        </row>
        <row r="866">
          <cell r="B866">
            <v>512</v>
          </cell>
          <cell r="C866" t="str">
            <v xml:space="preserve">KELVIA MARIA ARAUJO                               </v>
          </cell>
        </row>
        <row r="867">
          <cell r="B867">
            <v>512</v>
          </cell>
          <cell r="C867" t="str">
            <v xml:space="preserve">KELVIA MARIA ARAUJO                               </v>
          </cell>
        </row>
        <row r="868">
          <cell r="B868">
            <v>512</v>
          </cell>
          <cell r="C868" t="str">
            <v xml:space="preserve">KELVIA MARIA ARAUJO                               </v>
          </cell>
        </row>
        <row r="869">
          <cell r="B869">
            <v>512</v>
          </cell>
          <cell r="C869" t="str">
            <v xml:space="preserve">KELVIA MARIA ARAUJO                               </v>
          </cell>
        </row>
        <row r="870">
          <cell r="B870">
            <v>512</v>
          </cell>
          <cell r="C870" t="str">
            <v xml:space="preserve">KELVIA MARIA ARAUJO                               </v>
          </cell>
        </row>
        <row r="871">
          <cell r="B871">
            <v>512</v>
          </cell>
          <cell r="C871" t="str">
            <v xml:space="preserve">KELVIA MARIA ARAUJO                               </v>
          </cell>
        </row>
        <row r="872">
          <cell r="B872">
            <v>512</v>
          </cell>
          <cell r="C872" t="str">
            <v xml:space="preserve">KELVIA MARIA ARAUJO                               </v>
          </cell>
        </row>
        <row r="873">
          <cell r="B873">
            <v>512</v>
          </cell>
          <cell r="C873" t="str">
            <v xml:space="preserve">KELVIA MARIA ARAUJO                               </v>
          </cell>
        </row>
        <row r="874">
          <cell r="B874">
            <v>512</v>
          </cell>
          <cell r="C874" t="str">
            <v xml:space="preserve">KELVIA MARIA ARAUJO                               </v>
          </cell>
        </row>
        <row r="875">
          <cell r="B875">
            <v>512</v>
          </cell>
          <cell r="C875" t="str">
            <v xml:space="preserve">KELVIA MARIA ARAUJO                               </v>
          </cell>
        </row>
        <row r="876">
          <cell r="B876">
            <v>512</v>
          </cell>
          <cell r="C876" t="str">
            <v xml:space="preserve">KELVIA MARIA ARAUJO                               </v>
          </cell>
        </row>
        <row r="877">
          <cell r="B877">
            <v>512</v>
          </cell>
          <cell r="C877" t="str">
            <v xml:space="preserve">KELVIA MARIA ARAUJO                               </v>
          </cell>
        </row>
        <row r="878">
          <cell r="B878">
            <v>512</v>
          </cell>
          <cell r="C878" t="str">
            <v xml:space="preserve">KELVIA MARIA ARAUJO                               </v>
          </cell>
        </row>
        <row r="879">
          <cell r="B879">
            <v>512</v>
          </cell>
          <cell r="C879" t="str">
            <v xml:space="preserve">KELVIA MARIA ARAUJO                               </v>
          </cell>
        </row>
        <row r="880">
          <cell r="B880">
            <v>512</v>
          </cell>
          <cell r="C880" t="str">
            <v xml:space="preserve">KELVIA MARIA ARAUJO                               </v>
          </cell>
        </row>
        <row r="881">
          <cell r="B881">
            <v>512</v>
          </cell>
          <cell r="C881" t="str">
            <v xml:space="preserve">KELVIA MARIA ARAUJO                               </v>
          </cell>
        </row>
        <row r="882">
          <cell r="B882">
            <v>512</v>
          </cell>
          <cell r="C882" t="str">
            <v xml:space="preserve">KELVIA MARIA ARAUJO                               </v>
          </cell>
        </row>
        <row r="883">
          <cell r="B883">
            <v>512</v>
          </cell>
          <cell r="C883" t="str">
            <v xml:space="preserve">KELVIA MARIA ARAUJO                               </v>
          </cell>
        </row>
        <row r="884">
          <cell r="B884">
            <v>512</v>
          </cell>
          <cell r="C884" t="str">
            <v xml:space="preserve">KELVIA MARIA ARAUJO                               </v>
          </cell>
        </row>
        <row r="885">
          <cell r="B885">
            <v>512</v>
          </cell>
          <cell r="C885" t="str">
            <v xml:space="preserve">KELVIA MARIA ARAUJO                               </v>
          </cell>
        </row>
        <row r="886">
          <cell r="B886">
            <v>512</v>
          </cell>
          <cell r="C886" t="str">
            <v xml:space="preserve">KELVIA MARIA ARAUJO                               </v>
          </cell>
        </row>
        <row r="887">
          <cell r="B887">
            <v>512</v>
          </cell>
          <cell r="C887" t="str">
            <v xml:space="preserve">KELVIA MARIA ARAUJO                               </v>
          </cell>
        </row>
        <row r="888">
          <cell r="B888">
            <v>512</v>
          </cell>
          <cell r="C888" t="str">
            <v xml:space="preserve">KELVIA MARIA ARAUJO                               </v>
          </cell>
        </row>
        <row r="889">
          <cell r="B889">
            <v>512</v>
          </cell>
          <cell r="C889" t="str">
            <v xml:space="preserve">KELVIA MARIA ARAUJO                               </v>
          </cell>
        </row>
        <row r="890">
          <cell r="B890">
            <v>512</v>
          </cell>
          <cell r="C890" t="str">
            <v xml:space="preserve">KELVIA MARIA ARAUJO                               </v>
          </cell>
        </row>
        <row r="891">
          <cell r="B891">
            <v>512</v>
          </cell>
          <cell r="C891" t="str">
            <v xml:space="preserve">KELVIA MARIA ARAUJO                               </v>
          </cell>
        </row>
        <row r="892">
          <cell r="B892">
            <v>512</v>
          </cell>
          <cell r="C892" t="str">
            <v xml:space="preserve">KELVIA MARIA ARAUJO                               </v>
          </cell>
        </row>
        <row r="893">
          <cell r="B893">
            <v>512</v>
          </cell>
          <cell r="C893" t="str">
            <v xml:space="preserve">KELVIA MARIA ARAUJO                               </v>
          </cell>
        </row>
        <row r="894">
          <cell r="B894">
            <v>512</v>
          </cell>
          <cell r="C894" t="str">
            <v xml:space="preserve">KELVIA MARIA ARAUJO                               </v>
          </cell>
        </row>
        <row r="895">
          <cell r="B895">
            <v>512</v>
          </cell>
          <cell r="C895" t="str">
            <v xml:space="preserve">KELVIA MARIA ARAUJO                               </v>
          </cell>
        </row>
        <row r="896">
          <cell r="B896">
            <v>512</v>
          </cell>
          <cell r="C896" t="str">
            <v xml:space="preserve">KELVIA MARIA ARAUJO                               </v>
          </cell>
        </row>
        <row r="897">
          <cell r="B897">
            <v>512</v>
          </cell>
          <cell r="C897" t="str">
            <v xml:space="preserve">KELVIA MARIA ARAUJO                               </v>
          </cell>
        </row>
        <row r="898">
          <cell r="B898">
            <v>512</v>
          </cell>
          <cell r="C898" t="str">
            <v xml:space="preserve">KELVIA MARIA ARAUJO                               </v>
          </cell>
        </row>
        <row r="899">
          <cell r="B899">
            <v>512</v>
          </cell>
          <cell r="C899" t="str">
            <v xml:space="preserve">KELVIA MARIA ARAUJO                               </v>
          </cell>
        </row>
        <row r="900">
          <cell r="B900">
            <v>512</v>
          </cell>
          <cell r="C900" t="str">
            <v xml:space="preserve">KELVIA MARIA ARAUJO                               </v>
          </cell>
        </row>
        <row r="901">
          <cell r="B901">
            <v>512</v>
          </cell>
          <cell r="C901" t="str">
            <v xml:space="preserve">KELVIA MARIA ARAUJO                               </v>
          </cell>
        </row>
        <row r="902">
          <cell r="B902">
            <v>512</v>
          </cell>
          <cell r="C902" t="str">
            <v xml:space="preserve">KELVIA MARIA ARAUJO                               </v>
          </cell>
        </row>
        <row r="903">
          <cell r="B903">
            <v>512</v>
          </cell>
          <cell r="C903" t="str">
            <v xml:space="preserve">KELVIA MARIA ARAUJO                               </v>
          </cell>
        </row>
        <row r="904">
          <cell r="B904">
            <v>512</v>
          </cell>
          <cell r="C904" t="str">
            <v xml:space="preserve">KELVIA MARIA ARAUJO                               </v>
          </cell>
        </row>
        <row r="905">
          <cell r="B905">
            <v>512</v>
          </cell>
          <cell r="C905" t="str">
            <v xml:space="preserve">KELVIA MARIA ARAUJO                               </v>
          </cell>
        </row>
        <row r="906">
          <cell r="B906">
            <v>512</v>
          </cell>
          <cell r="C906" t="str">
            <v xml:space="preserve">KELVIA MARIA ARAUJO                               </v>
          </cell>
        </row>
        <row r="907">
          <cell r="B907">
            <v>512</v>
          </cell>
          <cell r="C907" t="str">
            <v xml:space="preserve">KELVIA MARIA ARAUJO                               </v>
          </cell>
        </row>
        <row r="908">
          <cell r="B908">
            <v>512</v>
          </cell>
          <cell r="C908" t="str">
            <v xml:space="preserve">KELVIA MARIA ARAUJO                               </v>
          </cell>
        </row>
        <row r="909">
          <cell r="B909">
            <v>512</v>
          </cell>
          <cell r="C909" t="str">
            <v xml:space="preserve">KELVIA MARIA ARAUJO                               </v>
          </cell>
        </row>
        <row r="910">
          <cell r="B910">
            <v>512</v>
          </cell>
          <cell r="C910" t="str">
            <v xml:space="preserve">KELVIA MARIA ARAUJO                               </v>
          </cell>
        </row>
        <row r="911">
          <cell r="B911">
            <v>512</v>
          </cell>
          <cell r="C911" t="str">
            <v xml:space="preserve">KELVIA MARIA ARAUJO                               </v>
          </cell>
        </row>
        <row r="912">
          <cell r="B912">
            <v>512</v>
          </cell>
          <cell r="C912" t="str">
            <v xml:space="preserve">KELVIA MARIA ARAUJO                               </v>
          </cell>
        </row>
        <row r="913">
          <cell r="B913">
            <v>512</v>
          </cell>
          <cell r="C913" t="str">
            <v xml:space="preserve">KELVIA MARIA ARAUJO                               </v>
          </cell>
        </row>
        <row r="914">
          <cell r="B914">
            <v>512</v>
          </cell>
          <cell r="C914" t="str">
            <v xml:space="preserve">KELVIA MARIA ARAUJO                               </v>
          </cell>
        </row>
        <row r="915">
          <cell r="B915">
            <v>512</v>
          </cell>
          <cell r="C915" t="str">
            <v xml:space="preserve">KELVIA MARIA ARAUJO                               </v>
          </cell>
        </row>
        <row r="916">
          <cell r="B916">
            <v>512</v>
          </cell>
          <cell r="C916" t="str">
            <v xml:space="preserve">KELVIA MARIA ARAUJO                               </v>
          </cell>
        </row>
        <row r="917">
          <cell r="B917">
            <v>512</v>
          </cell>
          <cell r="C917" t="str">
            <v xml:space="preserve">KELVIA MARIA ARAUJO                               </v>
          </cell>
        </row>
        <row r="918">
          <cell r="B918">
            <v>512</v>
          </cell>
          <cell r="C918" t="str">
            <v xml:space="preserve">KELVIA MARIA ARAUJO                               </v>
          </cell>
        </row>
        <row r="919">
          <cell r="B919">
            <v>512</v>
          </cell>
          <cell r="C919" t="str">
            <v xml:space="preserve">KELVIA MARIA ARAUJO                               </v>
          </cell>
        </row>
        <row r="920">
          <cell r="B920">
            <v>512</v>
          </cell>
          <cell r="C920" t="str">
            <v xml:space="preserve">KELVIA MARIA ARAUJO                               </v>
          </cell>
        </row>
        <row r="921">
          <cell r="B921">
            <v>512</v>
          </cell>
          <cell r="C921" t="str">
            <v xml:space="preserve">KELVIA MARIA ARAUJO                               </v>
          </cell>
        </row>
        <row r="922">
          <cell r="B922">
            <v>512</v>
          </cell>
          <cell r="C922" t="str">
            <v xml:space="preserve">KELVIA MARIA ARAUJO                               </v>
          </cell>
        </row>
        <row r="923">
          <cell r="B923">
            <v>512</v>
          </cell>
          <cell r="C923" t="str">
            <v xml:space="preserve">KELVIA MARIA ARAUJO                               </v>
          </cell>
        </row>
        <row r="924">
          <cell r="B924">
            <v>512</v>
          </cell>
          <cell r="C924" t="str">
            <v xml:space="preserve">KELVIA MARIA ARAUJO                               </v>
          </cell>
        </row>
        <row r="925">
          <cell r="B925">
            <v>512</v>
          </cell>
          <cell r="C925" t="str">
            <v xml:space="preserve">KELVIA MARIA ARAUJO                               </v>
          </cell>
        </row>
        <row r="926">
          <cell r="B926">
            <v>512</v>
          </cell>
          <cell r="C926" t="str">
            <v xml:space="preserve">KELVIA MARIA ARAUJO                               </v>
          </cell>
        </row>
        <row r="927">
          <cell r="B927">
            <v>512</v>
          </cell>
          <cell r="C927" t="str">
            <v xml:space="preserve">KELVIA MARIA ARAUJO                               </v>
          </cell>
        </row>
        <row r="928">
          <cell r="B928">
            <v>512</v>
          </cell>
          <cell r="C928" t="str">
            <v xml:space="preserve">KELVIA MARIA ARAUJO                               </v>
          </cell>
        </row>
        <row r="929">
          <cell r="B929">
            <v>512</v>
          </cell>
          <cell r="C929" t="str">
            <v xml:space="preserve">KELVIA MARIA ARAUJO                               </v>
          </cell>
        </row>
        <row r="930">
          <cell r="B930">
            <v>512</v>
          </cell>
          <cell r="C930" t="str">
            <v xml:space="preserve">KELVIA MARIA ARAUJO                               </v>
          </cell>
        </row>
        <row r="931">
          <cell r="B931">
            <v>512</v>
          </cell>
          <cell r="C931" t="str">
            <v xml:space="preserve">KELVIA MARIA ARAUJO                               </v>
          </cell>
        </row>
        <row r="932">
          <cell r="B932">
            <v>512</v>
          </cell>
          <cell r="C932" t="str">
            <v xml:space="preserve">KELVIA MARIA ARAUJO                               </v>
          </cell>
        </row>
        <row r="933">
          <cell r="B933">
            <v>512</v>
          </cell>
          <cell r="C933" t="str">
            <v xml:space="preserve">KELVIA MARIA ARAUJO                               </v>
          </cell>
        </row>
        <row r="934">
          <cell r="B934">
            <v>512</v>
          </cell>
          <cell r="C934" t="str">
            <v xml:space="preserve">KELVIA MARIA ARAUJO                               </v>
          </cell>
        </row>
        <row r="935">
          <cell r="B935">
            <v>512</v>
          </cell>
          <cell r="C935" t="str">
            <v xml:space="preserve">KELVIA MARIA ARAUJO                               </v>
          </cell>
        </row>
        <row r="936">
          <cell r="B936">
            <v>512</v>
          </cell>
          <cell r="C936" t="str">
            <v xml:space="preserve">KELVIA MARIA ARAUJO                               </v>
          </cell>
        </row>
        <row r="937">
          <cell r="B937">
            <v>512</v>
          </cell>
          <cell r="C937" t="str">
            <v xml:space="preserve">KELVIA MARIA ARAUJO                               </v>
          </cell>
        </row>
        <row r="938">
          <cell r="B938">
            <v>512</v>
          </cell>
          <cell r="C938" t="str">
            <v xml:space="preserve">KELVIA MARIA ARAUJO                               </v>
          </cell>
        </row>
        <row r="939">
          <cell r="B939">
            <v>512</v>
          </cell>
          <cell r="C939" t="str">
            <v xml:space="preserve">KELVIA MARIA ARAUJO                               </v>
          </cell>
        </row>
        <row r="940">
          <cell r="B940">
            <v>512</v>
          </cell>
          <cell r="C940" t="str">
            <v xml:space="preserve">KELVIA MARIA ARAUJO                               </v>
          </cell>
        </row>
        <row r="941">
          <cell r="B941">
            <v>512</v>
          </cell>
          <cell r="C941" t="str">
            <v xml:space="preserve">KELVIA MARIA ARAUJO                               </v>
          </cell>
        </row>
        <row r="942">
          <cell r="B942">
            <v>512</v>
          </cell>
          <cell r="C942" t="str">
            <v xml:space="preserve">KELVIA MARIA ARAUJO                               </v>
          </cell>
        </row>
        <row r="943">
          <cell r="B943">
            <v>512</v>
          </cell>
          <cell r="C943" t="str">
            <v xml:space="preserve">KELVIA MARIA ARAUJO                               </v>
          </cell>
        </row>
        <row r="944">
          <cell r="B944">
            <v>512</v>
          </cell>
          <cell r="C944" t="str">
            <v xml:space="preserve">KELVIA MARIA ARAUJO                               </v>
          </cell>
        </row>
        <row r="945">
          <cell r="B945">
            <v>512</v>
          </cell>
          <cell r="C945" t="str">
            <v xml:space="preserve">KELVIA MARIA ARAUJO                               </v>
          </cell>
        </row>
        <row r="946">
          <cell r="B946">
            <v>512</v>
          </cell>
          <cell r="C946" t="str">
            <v xml:space="preserve">KELVIA MARIA ARAUJO                               </v>
          </cell>
        </row>
        <row r="947">
          <cell r="B947">
            <v>512</v>
          </cell>
          <cell r="C947" t="str">
            <v xml:space="preserve">KELVIA MARIA ARAUJO                               </v>
          </cell>
        </row>
        <row r="948">
          <cell r="B948">
            <v>512</v>
          </cell>
          <cell r="C948" t="str">
            <v xml:space="preserve">KELVIA MARIA ARAUJO                               </v>
          </cell>
        </row>
        <row r="949">
          <cell r="B949">
            <v>512</v>
          </cell>
          <cell r="C949" t="str">
            <v xml:space="preserve">KELVIA MARIA ARAUJO                               </v>
          </cell>
        </row>
        <row r="950">
          <cell r="B950">
            <v>512</v>
          </cell>
          <cell r="C950" t="str">
            <v xml:space="preserve">KELVIA MARIA ARAUJO                               </v>
          </cell>
        </row>
        <row r="951">
          <cell r="B951">
            <v>512</v>
          </cell>
          <cell r="C951" t="str">
            <v xml:space="preserve">KELVIA MARIA ARAUJO                               </v>
          </cell>
        </row>
        <row r="952">
          <cell r="B952">
            <v>512</v>
          </cell>
          <cell r="C952" t="str">
            <v xml:space="preserve">KELVIA MARIA ARAUJO                               </v>
          </cell>
        </row>
        <row r="953">
          <cell r="B953">
            <v>512</v>
          </cell>
          <cell r="C953" t="str">
            <v xml:space="preserve">KELVIA MARIA ARAUJO                               </v>
          </cell>
        </row>
        <row r="954">
          <cell r="B954">
            <v>512</v>
          </cell>
          <cell r="C954" t="str">
            <v xml:space="preserve">KELVIA MARIA ARAUJO                               </v>
          </cell>
        </row>
        <row r="955">
          <cell r="B955">
            <v>512</v>
          </cell>
          <cell r="C955" t="str">
            <v xml:space="preserve">KELVIA MARIA ARAUJO                               </v>
          </cell>
        </row>
        <row r="956">
          <cell r="B956">
            <v>512</v>
          </cell>
          <cell r="C956" t="str">
            <v xml:space="preserve">KELVIA MARIA ARAUJO                               </v>
          </cell>
        </row>
        <row r="957">
          <cell r="B957">
            <v>512</v>
          </cell>
          <cell r="C957" t="str">
            <v xml:space="preserve">KELVIA MARIA ARAUJO                               </v>
          </cell>
        </row>
        <row r="958">
          <cell r="B958">
            <v>512</v>
          </cell>
          <cell r="C958" t="str">
            <v xml:space="preserve">KELVIA MARIA ARAUJO                               </v>
          </cell>
        </row>
        <row r="959">
          <cell r="B959">
            <v>512</v>
          </cell>
          <cell r="C959" t="str">
            <v xml:space="preserve">KELVIA MARIA ARAUJO                               </v>
          </cell>
        </row>
        <row r="960">
          <cell r="B960">
            <v>512</v>
          </cell>
          <cell r="C960" t="str">
            <v xml:space="preserve">KELVIA MARIA ARAUJO                               </v>
          </cell>
        </row>
        <row r="961">
          <cell r="B961">
            <v>512</v>
          </cell>
          <cell r="C961" t="str">
            <v xml:space="preserve">KELVIA MARIA ARAUJO                               </v>
          </cell>
        </row>
        <row r="962">
          <cell r="B962">
            <v>512</v>
          </cell>
          <cell r="C962" t="str">
            <v xml:space="preserve">KELVIA MARIA ARAUJO                               </v>
          </cell>
        </row>
        <row r="963">
          <cell r="B963">
            <v>512</v>
          </cell>
          <cell r="C963" t="str">
            <v xml:space="preserve">KELVIA MARIA ARAUJO                               </v>
          </cell>
        </row>
        <row r="964">
          <cell r="B964">
            <v>512</v>
          </cell>
          <cell r="C964" t="str">
            <v xml:space="preserve">KELVIA MARIA ARAUJO                               </v>
          </cell>
        </row>
        <row r="965">
          <cell r="B965">
            <v>512</v>
          </cell>
          <cell r="C965" t="str">
            <v xml:space="preserve">KELVIA MARIA ARAUJO                               </v>
          </cell>
        </row>
        <row r="966">
          <cell r="B966">
            <v>512</v>
          </cell>
          <cell r="C966" t="str">
            <v xml:space="preserve">KELVIA MARIA ARAUJO                               </v>
          </cell>
        </row>
        <row r="967">
          <cell r="B967">
            <v>512</v>
          </cell>
          <cell r="C967" t="str">
            <v xml:space="preserve">KELVIA MARIA ARAUJO                               </v>
          </cell>
        </row>
        <row r="968">
          <cell r="B968">
            <v>512</v>
          </cell>
          <cell r="C968" t="str">
            <v xml:space="preserve">KELVIA MARIA ARAUJO                               </v>
          </cell>
        </row>
        <row r="969">
          <cell r="B969">
            <v>512</v>
          </cell>
          <cell r="C969" t="str">
            <v xml:space="preserve">KELVIA MARIA ARAUJO                               </v>
          </cell>
        </row>
        <row r="970">
          <cell r="B970">
            <v>512</v>
          </cell>
          <cell r="C970" t="str">
            <v xml:space="preserve">KELVIA MARIA ARAUJO                               </v>
          </cell>
        </row>
        <row r="971">
          <cell r="B971">
            <v>512</v>
          </cell>
          <cell r="C971" t="str">
            <v xml:space="preserve">KELVIA MARIA ARAUJO                               </v>
          </cell>
        </row>
        <row r="972">
          <cell r="B972">
            <v>512</v>
          </cell>
          <cell r="C972" t="str">
            <v xml:space="preserve">KELVIA MARIA ARAUJO                               </v>
          </cell>
        </row>
        <row r="973">
          <cell r="B973">
            <v>512</v>
          </cell>
          <cell r="C973" t="str">
            <v xml:space="preserve">KELVIA MARIA ARAUJO                               </v>
          </cell>
        </row>
        <row r="974">
          <cell r="B974">
            <v>512</v>
          </cell>
          <cell r="C974" t="str">
            <v xml:space="preserve">KELVIA MARIA ARAUJO                               </v>
          </cell>
        </row>
        <row r="975">
          <cell r="B975">
            <v>512</v>
          </cell>
          <cell r="C975" t="str">
            <v xml:space="preserve">KELVIA MARIA ARAUJO                               </v>
          </cell>
        </row>
        <row r="976">
          <cell r="B976">
            <v>512</v>
          </cell>
          <cell r="C976" t="str">
            <v xml:space="preserve">KELVIA MARIA ARAUJO                               </v>
          </cell>
        </row>
        <row r="977">
          <cell r="B977">
            <v>512</v>
          </cell>
          <cell r="C977" t="str">
            <v xml:space="preserve">KELVIA MARIA ARAUJO                               </v>
          </cell>
        </row>
        <row r="978">
          <cell r="B978">
            <v>512</v>
          </cell>
          <cell r="C978" t="str">
            <v xml:space="preserve">KELVIA MARIA ARAUJO                               </v>
          </cell>
        </row>
        <row r="979">
          <cell r="B979">
            <v>512</v>
          </cell>
          <cell r="C979" t="str">
            <v xml:space="preserve">KELVIA MARIA ARAUJO                               </v>
          </cell>
        </row>
        <row r="980">
          <cell r="B980">
            <v>512</v>
          </cell>
          <cell r="C980" t="str">
            <v xml:space="preserve">KELVIA MARIA ARAUJO                               </v>
          </cell>
        </row>
        <row r="981">
          <cell r="B981">
            <v>512</v>
          </cell>
          <cell r="C981" t="str">
            <v xml:space="preserve">KELVIA MARIA ARAUJO                               </v>
          </cell>
        </row>
        <row r="982">
          <cell r="B982">
            <v>512</v>
          </cell>
          <cell r="C982" t="str">
            <v xml:space="preserve">KELVIA MARIA ARAUJO                               </v>
          </cell>
        </row>
        <row r="983">
          <cell r="B983">
            <v>512</v>
          </cell>
          <cell r="C983" t="str">
            <v xml:space="preserve">KELVIA MARIA ARAUJO                               </v>
          </cell>
        </row>
        <row r="984">
          <cell r="B984">
            <v>512</v>
          </cell>
          <cell r="C984" t="str">
            <v xml:space="preserve">KELVIA MARIA ARAUJO                               </v>
          </cell>
        </row>
        <row r="985">
          <cell r="B985">
            <v>512</v>
          </cell>
          <cell r="C985" t="str">
            <v xml:space="preserve">KELVIA MARIA ARAUJO                               </v>
          </cell>
        </row>
        <row r="986">
          <cell r="B986">
            <v>512</v>
          </cell>
          <cell r="C986" t="str">
            <v xml:space="preserve">KELVIA MARIA ARAUJO                               </v>
          </cell>
        </row>
        <row r="987">
          <cell r="B987">
            <v>512</v>
          </cell>
          <cell r="C987" t="str">
            <v xml:space="preserve">KELVIA MARIA ARAUJO                               </v>
          </cell>
        </row>
        <row r="988">
          <cell r="B988">
            <v>512</v>
          </cell>
          <cell r="C988" t="str">
            <v xml:space="preserve">KELVIA MARIA ARAUJO                               </v>
          </cell>
        </row>
        <row r="989">
          <cell r="B989">
            <v>512</v>
          </cell>
          <cell r="C989" t="str">
            <v xml:space="preserve">KELVIA MARIA ARAUJO                               </v>
          </cell>
        </row>
        <row r="990">
          <cell r="B990">
            <v>512</v>
          </cell>
          <cell r="C990" t="str">
            <v xml:space="preserve">KELVIA MARIA ARAUJO                               </v>
          </cell>
        </row>
        <row r="991">
          <cell r="B991">
            <v>512</v>
          </cell>
          <cell r="C991" t="str">
            <v xml:space="preserve">KELVIA MARIA ARAUJO                               </v>
          </cell>
        </row>
        <row r="992">
          <cell r="B992">
            <v>512</v>
          </cell>
          <cell r="C992" t="str">
            <v xml:space="preserve">KELVIA MARIA ARAUJO                               </v>
          </cell>
        </row>
        <row r="993">
          <cell r="B993">
            <v>512</v>
          </cell>
          <cell r="C993" t="str">
            <v xml:space="preserve">KELVIA MARIA ARAUJO                               </v>
          </cell>
        </row>
        <row r="994">
          <cell r="B994">
            <v>512</v>
          </cell>
          <cell r="C994" t="str">
            <v xml:space="preserve">KELVIA MARIA ARAUJO                               </v>
          </cell>
        </row>
        <row r="995">
          <cell r="B995">
            <v>512</v>
          </cell>
          <cell r="C995" t="str">
            <v xml:space="preserve">KELVIA MARIA ARAUJO                               </v>
          </cell>
        </row>
        <row r="996">
          <cell r="B996">
            <v>512</v>
          </cell>
          <cell r="C996" t="str">
            <v xml:space="preserve">KELVIA MARIA ARAUJO                               </v>
          </cell>
        </row>
        <row r="997">
          <cell r="B997">
            <v>512</v>
          </cell>
          <cell r="C997" t="str">
            <v xml:space="preserve">KELVIA MARIA ARAUJO                               </v>
          </cell>
        </row>
        <row r="998">
          <cell r="B998">
            <v>512</v>
          </cell>
          <cell r="C998" t="str">
            <v xml:space="preserve">KELVIA MARIA ARAUJO                               </v>
          </cell>
        </row>
        <row r="999">
          <cell r="B999">
            <v>512</v>
          </cell>
          <cell r="C999" t="str">
            <v xml:space="preserve">KELVIA MARIA ARAUJO                               </v>
          </cell>
        </row>
        <row r="1000">
          <cell r="B1000">
            <v>512</v>
          </cell>
          <cell r="C1000" t="str">
            <v xml:space="preserve">KELVIA MARIA ARAUJO                               </v>
          </cell>
        </row>
        <row r="1001">
          <cell r="B1001">
            <v>512</v>
          </cell>
          <cell r="C1001" t="str">
            <v xml:space="preserve">KELVIA MARIA ARAUJO                               </v>
          </cell>
        </row>
        <row r="1002">
          <cell r="B1002">
            <v>512</v>
          </cell>
          <cell r="C1002" t="str">
            <v xml:space="preserve">KELVIA MARIA ARAUJO                               </v>
          </cell>
        </row>
        <row r="1003">
          <cell r="B1003">
            <v>512</v>
          </cell>
          <cell r="C1003" t="str">
            <v xml:space="preserve">KELVIA MARIA ARAUJO                               </v>
          </cell>
        </row>
        <row r="1004">
          <cell r="B1004">
            <v>512</v>
          </cell>
          <cell r="C1004" t="str">
            <v xml:space="preserve">KELVIA MARIA ARAUJO                               </v>
          </cell>
        </row>
        <row r="1005">
          <cell r="B1005">
            <v>512</v>
          </cell>
          <cell r="C1005" t="str">
            <v xml:space="preserve">KELVIA MARIA ARAUJO                               </v>
          </cell>
        </row>
        <row r="1006">
          <cell r="B1006">
            <v>512</v>
          </cell>
          <cell r="C1006" t="str">
            <v xml:space="preserve">KELVIA MARIA ARAUJO                               </v>
          </cell>
        </row>
        <row r="1007">
          <cell r="B1007">
            <v>512</v>
          </cell>
          <cell r="C1007" t="str">
            <v xml:space="preserve">KELVIA MARIA ARAUJO                               </v>
          </cell>
        </row>
        <row r="1008">
          <cell r="B1008">
            <v>512</v>
          </cell>
          <cell r="C1008" t="str">
            <v xml:space="preserve">KELVIA MARIA ARAUJO                               </v>
          </cell>
        </row>
        <row r="1009">
          <cell r="B1009">
            <v>512</v>
          </cell>
          <cell r="C1009" t="str">
            <v xml:space="preserve">KELVIA MARIA ARAUJO                               </v>
          </cell>
        </row>
        <row r="1010">
          <cell r="B1010">
            <v>512</v>
          </cell>
          <cell r="C1010" t="str">
            <v xml:space="preserve">KELVIA MARIA ARAUJO                               </v>
          </cell>
        </row>
        <row r="1011">
          <cell r="B1011">
            <v>512</v>
          </cell>
          <cell r="C1011" t="str">
            <v xml:space="preserve">KELVIA MARIA ARAUJO                               </v>
          </cell>
        </row>
        <row r="1012">
          <cell r="B1012">
            <v>512</v>
          </cell>
          <cell r="C1012" t="str">
            <v xml:space="preserve">KELVIA MARIA ARAUJO                               </v>
          </cell>
        </row>
        <row r="1013">
          <cell r="B1013">
            <v>512</v>
          </cell>
          <cell r="C1013" t="str">
            <v xml:space="preserve">KELVIA MARIA ARAUJO                               </v>
          </cell>
        </row>
        <row r="1014">
          <cell r="B1014">
            <v>512</v>
          </cell>
          <cell r="C1014" t="str">
            <v xml:space="preserve">KELVIA MARIA ARAUJO                               </v>
          </cell>
        </row>
        <row r="1015">
          <cell r="B1015">
            <v>512</v>
          </cell>
          <cell r="C1015" t="str">
            <v xml:space="preserve">KELVIA MARIA ARAUJO                               </v>
          </cell>
        </row>
        <row r="1016">
          <cell r="B1016">
            <v>512</v>
          </cell>
          <cell r="C1016" t="str">
            <v xml:space="preserve">KELVIA MARIA ARAUJO                               </v>
          </cell>
        </row>
        <row r="1017">
          <cell r="B1017">
            <v>512</v>
          </cell>
          <cell r="C1017" t="str">
            <v xml:space="preserve">KELVIA MARIA ARAUJO                               </v>
          </cell>
        </row>
        <row r="1018">
          <cell r="B1018">
            <v>512</v>
          </cell>
          <cell r="C1018" t="str">
            <v xml:space="preserve">KELVIA MARIA ARAUJO                               </v>
          </cell>
        </row>
        <row r="1019">
          <cell r="B1019">
            <v>512</v>
          </cell>
          <cell r="C1019" t="str">
            <v xml:space="preserve">KELVIA MARIA ARAUJO                               </v>
          </cell>
        </row>
        <row r="1020">
          <cell r="B1020">
            <v>512</v>
          </cell>
          <cell r="C1020" t="str">
            <v xml:space="preserve">KELVIA MARIA ARAUJO                               </v>
          </cell>
        </row>
        <row r="1021">
          <cell r="B1021">
            <v>512</v>
          </cell>
          <cell r="C1021" t="str">
            <v xml:space="preserve">KELVIA MARIA ARAUJO                               </v>
          </cell>
        </row>
        <row r="1022">
          <cell r="B1022">
            <v>512</v>
          </cell>
          <cell r="C1022" t="str">
            <v xml:space="preserve">KELVIA MARIA ARAUJO                               </v>
          </cell>
        </row>
        <row r="1023">
          <cell r="B1023">
            <v>512</v>
          </cell>
          <cell r="C1023" t="str">
            <v xml:space="preserve">KELVIA MARIA ARAUJO                               </v>
          </cell>
        </row>
        <row r="1024">
          <cell r="B1024">
            <v>512</v>
          </cell>
          <cell r="C1024" t="str">
            <v xml:space="preserve">KELVIA MARIA ARAUJO                               </v>
          </cell>
        </row>
        <row r="1025">
          <cell r="B1025">
            <v>512</v>
          </cell>
          <cell r="C1025" t="str">
            <v xml:space="preserve">KELVIA MARIA ARAUJO                               </v>
          </cell>
        </row>
        <row r="1026">
          <cell r="B1026">
            <v>512</v>
          </cell>
          <cell r="C1026" t="str">
            <v xml:space="preserve">KELVIA MARIA ARAUJO                               </v>
          </cell>
        </row>
        <row r="1027">
          <cell r="B1027">
            <v>512</v>
          </cell>
          <cell r="C1027" t="str">
            <v xml:space="preserve">KELVIA MARIA ARAUJO                               </v>
          </cell>
        </row>
        <row r="1028">
          <cell r="B1028">
            <v>512</v>
          </cell>
          <cell r="C1028" t="str">
            <v xml:space="preserve">KELVIA MARIA ARAUJO                               </v>
          </cell>
        </row>
        <row r="1029">
          <cell r="B1029">
            <v>512</v>
          </cell>
          <cell r="C1029" t="str">
            <v xml:space="preserve">KELVIA MARIA ARAUJO                               </v>
          </cell>
        </row>
        <row r="1030">
          <cell r="B1030">
            <v>512</v>
          </cell>
          <cell r="C1030" t="str">
            <v xml:space="preserve">KELVIA MARIA ARAUJO                               </v>
          </cell>
        </row>
        <row r="1031">
          <cell r="B1031">
            <v>512</v>
          </cell>
          <cell r="C1031" t="str">
            <v xml:space="preserve">KELVIA MARIA ARAUJO                               </v>
          </cell>
        </row>
        <row r="1032">
          <cell r="B1032">
            <v>512</v>
          </cell>
          <cell r="C1032" t="str">
            <v xml:space="preserve">KELVIA MARIA ARAUJO                               </v>
          </cell>
        </row>
        <row r="1033">
          <cell r="B1033">
            <v>512</v>
          </cell>
          <cell r="C1033" t="str">
            <v xml:space="preserve">KELVIA MARIA ARAUJO                               </v>
          </cell>
        </row>
        <row r="1034">
          <cell r="B1034">
            <v>512</v>
          </cell>
          <cell r="C1034" t="str">
            <v xml:space="preserve">KELVIA MARIA ARAUJO                               </v>
          </cell>
        </row>
        <row r="1035">
          <cell r="B1035">
            <v>512</v>
          </cell>
          <cell r="C1035" t="str">
            <v xml:space="preserve">KELVIA MARIA ARAUJO                               </v>
          </cell>
        </row>
        <row r="1036">
          <cell r="B1036">
            <v>512</v>
          </cell>
          <cell r="C1036" t="str">
            <v xml:space="preserve">KELVIA MARIA ARAUJO                               </v>
          </cell>
        </row>
        <row r="1037">
          <cell r="B1037">
            <v>513</v>
          </cell>
          <cell r="C1037" t="str">
            <v xml:space="preserve">JEFFERSON WEYNER SOA                              </v>
          </cell>
        </row>
        <row r="1038">
          <cell r="B1038">
            <v>513</v>
          </cell>
          <cell r="C1038" t="str">
            <v xml:space="preserve">JEFFERSON WEYNER SOA                              </v>
          </cell>
        </row>
        <row r="1039">
          <cell r="B1039">
            <v>513</v>
          </cell>
          <cell r="C1039" t="str">
            <v xml:space="preserve">JEFFERSON WEYNER SOA                              </v>
          </cell>
        </row>
        <row r="1040">
          <cell r="B1040">
            <v>513</v>
          </cell>
          <cell r="C1040" t="str">
            <v xml:space="preserve">JEFFERSON WEYNER SOA                              </v>
          </cell>
        </row>
        <row r="1041">
          <cell r="B1041">
            <v>513</v>
          </cell>
          <cell r="C1041" t="str">
            <v xml:space="preserve">JEFFERSON WEYNER SOA                              </v>
          </cell>
        </row>
        <row r="1042">
          <cell r="B1042">
            <v>513</v>
          </cell>
          <cell r="C1042" t="str">
            <v xml:space="preserve">JEFFERSON WEYNER SOA                              </v>
          </cell>
        </row>
        <row r="1043">
          <cell r="B1043">
            <v>513</v>
          </cell>
          <cell r="C1043" t="str">
            <v xml:space="preserve">JEFFERSON WEYNER SOA                              </v>
          </cell>
        </row>
        <row r="1044">
          <cell r="B1044">
            <v>513</v>
          </cell>
          <cell r="C1044" t="str">
            <v xml:space="preserve">JEFFERSON WEYNER SOA                              </v>
          </cell>
        </row>
        <row r="1045">
          <cell r="B1045">
            <v>513</v>
          </cell>
          <cell r="C1045" t="str">
            <v xml:space="preserve">JEFFERSON WEYNER SOA                              </v>
          </cell>
        </row>
        <row r="1046">
          <cell r="B1046">
            <v>513</v>
          </cell>
          <cell r="C1046" t="str">
            <v xml:space="preserve">JEFFERSON WEYNER SOA                              </v>
          </cell>
        </row>
        <row r="1047">
          <cell r="B1047">
            <v>513</v>
          </cell>
          <cell r="C1047" t="str">
            <v xml:space="preserve">JEFFERSON WEYNER SOA                              </v>
          </cell>
        </row>
        <row r="1048">
          <cell r="B1048">
            <v>513</v>
          </cell>
          <cell r="C1048" t="str">
            <v xml:space="preserve">JEFFERSON WEYNER SOA                              </v>
          </cell>
        </row>
        <row r="1049">
          <cell r="B1049">
            <v>513</v>
          </cell>
          <cell r="C1049" t="str">
            <v xml:space="preserve">JEFFERSON WEYNER SOA                              </v>
          </cell>
        </row>
        <row r="1050">
          <cell r="B1050">
            <v>513</v>
          </cell>
          <cell r="C1050" t="str">
            <v xml:space="preserve">JEFFERSON WEYNER SOA                              </v>
          </cell>
        </row>
        <row r="1051">
          <cell r="B1051">
            <v>513</v>
          </cell>
          <cell r="C1051" t="str">
            <v xml:space="preserve">JEFFERSON WEYNER SOA                              </v>
          </cell>
        </row>
        <row r="1052">
          <cell r="B1052">
            <v>513</v>
          </cell>
          <cell r="C1052" t="str">
            <v xml:space="preserve">JEFFERSON WEYNER SOA                              </v>
          </cell>
        </row>
        <row r="1053">
          <cell r="B1053">
            <v>513</v>
          </cell>
          <cell r="C1053" t="str">
            <v xml:space="preserve">JEFFERSON WEYNER SOA                              </v>
          </cell>
        </row>
        <row r="1054">
          <cell r="B1054">
            <v>513</v>
          </cell>
          <cell r="C1054" t="str">
            <v xml:space="preserve">JEFFERSON WEYNER SOA                              </v>
          </cell>
        </row>
        <row r="1055">
          <cell r="B1055">
            <v>513</v>
          </cell>
          <cell r="C1055" t="str">
            <v xml:space="preserve">JEFFERSON WEYNER SOA                              </v>
          </cell>
        </row>
        <row r="1056">
          <cell r="B1056">
            <v>513</v>
          </cell>
          <cell r="C1056" t="str">
            <v xml:space="preserve">JEFFERSON WEYNER SOA                              </v>
          </cell>
        </row>
        <row r="1057">
          <cell r="B1057">
            <v>513</v>
          </cell>
          <cell r="C1057" t="str">
            <v xml:space="preserve">JEFFERSON WEYNER SOA                              </v>
          </cell>
        </row>
        <row r="1058">
          <cell r="B1058">
            <v>513</v>
          </cell>
          <cell r="C1058" t="str">
            <v xml:space="preserve">JEFFERSON WEYNER SOA                              </v>
          </cell>
        </row>
        <row r="1059">
          <cell r="B1059">
            <v>513</v>
          </cell>
          <cell r="C1059" t="str">
            <v xml:space="preserve">JEFFERSON WEYNER SOA                              </v>
          </cell>
        </row>
        <row r="1060">
          <cell r="B1060">
            <v>513</v>
          </cell>
          <cell r="C1060" t="str">
            <v xml:space="preserve">JEFFERSON WEYNER SOA                              </v>
          </cell>
        </row>
        <row r="1061">
          <cell r="B1061">
            <v>513</v>
          </cell>
          <cell r="C1061" t="str">
            <v xml:space="preserve">JEFFERSON WEYNER SOA                              </v>
          </cell>
        </row>
        <row r="1062">
          <cell r="B1062">
            <v>513</v>
          </cell>
          <cell r="C1062" t="str">
            <v xml:space="preserve">JEFFERSON WEYNER SOA                              </v>
          </cell>
        </row>
        <row r="1063">
          <cell r="B1063">
            <v>513</v>
          </cell>
          <cell r="C1063" t="str">
            <v xml:space="preserve">JEFFERSON WEYNER SOA                              </v>
          </cell>
        </row>
        <row r="1064">
          <cell r="B1064">
            <v>513</v>
          </cell>
          <cell r="C1064" t="str">
            <v xml:space="preserve">JEFFERSON WEYNER SOA                              </v>
          </cell>
        </row>
        <row r="1065">
          <cell r="B1065">
            <v>513</v>
          </cell>
          <cell r="C1065" t="str">
            <v xml:space="preserve">JEFFERSON WEYNER SOA                              </v>
          </cell>
        </row>
        <row r="1066">
          <cell r="B1066">
            <v>513</v>
          </cell>
          <cell r="C1066" t="str">
            <v xml:space="preserve">JEFFERSON WEYNER SOA                              </v>
          </cell>
        </row>
        <row r="1067">
          <cell r="B1067">
            <v>513</v>
          </cell>
          <cell r="C1067" t="str">
            <v xml:space="preserve">JEFFERSON WEYNER SOA                              </v>
          </cell>
        </row>
        <row r="1068">
          <cell r="B1068">
            <v>513</v>
          </cell>
          <cell r="C1068" t="str">
            <v xml:space="preserve">JEFFERSON WEYNER SOA                              </v>
          </cell>
        </row>
        <row r="1069">
          <cell r="B1069">
            <v>513</v>
          </cell>
          <cell r="C1069" t="str">
            <v xml:space="preserve">JEFFERSON WEYNER SOA                              </v>
          </cell>
        </row>
        <row r="1070">
          <cell r="B1070">
            <v>513</v>
          </cell>
          <cell r="C1070" t="str">
            <v xml:space="preserve">JEFFERSON WEYNER SOA                              </v>
          </cell>
        </row>
        <row r="1071">
          <cell r="B1071">
            <v>513</v>
          </cell>
          <cell r="C1071" t="str">
            <v xml:space="preserve">JEFFERSON WEYNER SOA                              </v>
          </cell>
        </row>
        <row r="1072">
          <cell r="B1072">
            <v>513</v>
          </cell>
          <cell r="C1072" t="str">
            <v xml:space="preserve">JEFFERSON WEYNER SOA                              </v>
          </cell>
        </row>
        <row r="1073">
          <cell r="B1073">
            <v>513</v>
          </cell>
          <cell r="C1073" t="str">
            <v xml:space="preserve">JEFFERSON WEYNER SOA                              </v>
          </cell>
        </row>
        <row r="1074">
          <cell r="B1074">
            <v>513</v>
          </cell>
          <cell r="C1074" t="str">
            <v xml:space="preserve">JEFFERSON WEYNER SOA                              </v>
          </cell>
        </row>
        <row r="1075">
          <cell r="B1075">
            <v>513</v>
          </cell>
          <cell r="C1075" t="str">
            <v xml:space="preserve">JEFFERSON WEYNER SOA                              </v>
          </cell>
        </row>
        <row r="1076">
          <cell r="B1076">
            <v>513</v>
          </cell>
          <cell r="C1076" t="str">
            <v xml:space="preserve">JEFFERSON WEYNER SOA                              </v>
          </cell>
        </row>
        <row r="1077">
          <cell r="B1077">
            <v>513</v>
          </cell>
          <cell r="C1077" t="str">
            <v xml:space="preserve">JEFFERSON WEYNER SOA                              </v>
          </cell>
        </row>
        <row r="1078">
          <cell r="B1078">
            <v>513</v>
          </cell>
          <cell r="C1078" t="str">
            <v xml:space="preserve">JEFFERSON WEYNER SOA                              </v>
          </cell>
        </row>
        <row r="1079">
          <cell r="B1079">
            <v>513</v>
          </cell>
          <cell r="C1079" t="str">
            <v xml:space="preserve">JEFFERSON WEYNER SOA                              </v>
          </cell>
        </row>
        <row r="1080">
          <cell r="B1080">
            <v>513</v>
          </cell>
          <cell r="C1080" t="str">
            <v xml:space="preserve">JEFFERSON WEYNER SOA                              </v>
          </cell>
        </row>
        <row r="1081">
          <cell r="B1081">
            <v>513</v>
          </cell>
          <cell r="C1081" t="str">
            <v xml:space="preserve">JEFFERSON WEYNER SOA                              </v>
          </cell>
        </row>
        <row r="1082">
          <cell r="B1082">
            <v>513</v>
          </cell>
          <cell r="C1082" t="str">
            <v xml:space="preserve">JEFFERSON WEYNER SOA                              </v>
          </cell>
        </row>
        <row r="1083">
          <cell r="B1083">
            <v>513</v>
          </cell>
          <cell r="C1083" t="str">
            <v xml:space="preserve">JEFFERSON WEYNER SOA                              </v>
          </cell>
        </row>
        <row r="1084">
          <cell r="B1084">
            <v>513</v>
          </cell>
          <cell r="C1084" t="str">
            <v xml:space="preserve">JEFFERSON WEYNER SOA                              </v>
          </cell>
        </row>
        <row r="1085">
          <cell r="B1085">
            <v>513</v>
          </cell>
          <cell r="C1085" t="str">
            <v xml:space="preserve">JEFFERSON WEYNER SOA                              </v>
          </cell>
        </row>
        <row r="1086">
          <cell r="B1086">
            <v>513</v>
          </cell>
          <cell r="C1086" t="str">
            <v xml:space="preserve">JEFFERSON WEYNER SOA                              </v>
          </cell>
        </row>
        <row r="1087">
          <cell r="B1087">
            <v>513</v>
          </cell>
          <cell r="C1087" t="str">
            <v xml:space="preserve">JEFFERSON WEYNER SOA                              </v>
          </cell>
        </row>
        <row r="1088">
          <cell r="B1088">
            <v>513</v>
          </cell>
          <cell r="C1088" t="str">
            <v xml:space="preserve">JEFFERSON WEYNER SOA                              </v>
          </cell>
        </row>
        <row r="1089">
          <cell r="B1089">
            <v>513</v>
          </cell>
          <cell r="C1089" t="str">
            <v xml:space="preserve">JEFFERSON WEYNER SOA                              </v>
          </cell>
        </row>
        <row r="1090">
          <cell r="B1090">
            <v>513</v>
          </cell>
          <cell r="C1090" t="str">
            <v xml:space="preserve">JEFFERSON WEYNER SOA                              </v>
          </cell>
        </row>
        <row r="1091">
          <cell r="B1091">
            <v>513</v>
          </cell>
          <cell r="C1091" t="str">
            <v xml:space="preserve">JEFFERSON WEYNER SOA                              </v>
          </cell>
        </row>
        <row r="1092">
          <cell r="B1092">
            <v>513</v>
          </cell>
          <cell r="C1092" t="str">
            <v xml:space="preserve">JEFFERSON WEYNER SOA                              </v>
          </cell>
        </row>
        <row r="1093">
          <cell r="B1093">
            <v>513</v>
          </cell>
          <cell r="C1093" t="str">
            <v xml:space="preserve">JEFFERSON WEYNER SOA                              </v>
          </cell>
        </row>
        <row r="1094">
          <cell r="B1094">
            <v>513</v>
          </cell>
          <cell r="C1094" t="str">
            <v xml:space="preserve">JEFFERSON WEYNER SOA                              </v>
          </cell>
        </row>
        <row r="1095">
          <cell r="B1095">
            <v>513</v>
          </cell>
          <cell r="C1095" t="str">
            <v xml:space="preserve">JEFFERSON WEYNER SOA                              </v>
          </cell>
        </row>
        <row r="1096">
          <cell r="B1096">
            <v>513</v>
          </cell>
          <cell r="C1096" t="str">
            <v xml:space="preserve">JEFFERSON WEYNER SOA                              </v>
          </cell>
        </row>
        <row r="1097">
          <cell r="B1097">
            <v>513</v>
          </cell>
          <cell r="C1097" t="str">
            <v xml:space="preserve">JEFFERSON WEYNER SOA                              </v>
          </cell>
        </row>
        <row r="1098">
          <cell r="B1098">
            <v>513</v>
          </cell>
          <cell r="C1098" t="str">
            <v xml:space="preserve">JEFFERSON WEYNER SOA                              </v>
          </cell>
        </row>
        <row r="1099">
          <cell r="B1099">
            <v>513</v>
          </cell>
          <cell r="C1099" t="str">
            <v xml:space="preserve">JEFFERSON WEYNER SOA                              </v>
          </cell>
        </row>
        <row r="1100">
          <cell r="B1100">
            <v>513</v>
          </cell>
          <cell r="C1100" t="str">
            <v xml:space="preserve">JEFFERSON WEYNER SOA                              </v>
          </cell>
        </row>
        <row r="1101">
          <cell r="B1101">
            <v>513</v>
          </cell>
          <cell r="C1101" t="str">
            <v xml:space="preserve">JEFFERSON WEYNER SOA                              </v>
          </cell>
        </row>
        <row r="1102">
          <cell r="B1102">
            <v>513</v>
          </cell>
          <cell r="C1102" t="str">
            <v xml:space="preserve">JEFFERSON WEYNER SOA                              </v>
          </cell>
        </row>
        <row r="1103">
          <cell r="B1103">
            <v>513</v>
          </cell>
          <cell r="C1103" t="str">
            <v xml:space="preserve">JEFFERSON WEYNER SOA                              </v>
          </cell>
        </row>
        <row r="1104">
          <cell r="B1104">
            <v>513</v>
          </cell>
          <cell r="C1104" t="str">
            <v xml:space="preserve">JEFFERSON WEYNER SOA                              </v>
          </cell>
        </row>
        <row r="1105">
          <cell r="B1105">
            <v>513</v>
          </cell>
          <cell r="C1105" t="str">
            <v xml:space="preserve">JEFFERSON WEYNER SOA                              </v>
          </cell>
        </row>
        <row r="1106">
          <cell r="B1106">
            <v>513</v>
          </cell>
          <cell r="C1106" t="str">
            <v xml:space="preserve">JEFFERSON WEYNER SOA                              </v>
          </cell>
        </row>
        <row r="1107">
          <cell r="B1107">
            <v>513</v>
          </cell>
          <cell r="C1107" t="str">
            <v xml:space="preserve">JEFFERSON WEYNER SOA                              </v>
          </cell>
        </row>
        <row r="1108">
          <cell r="B1108">
            <v>513</v>
          </cell>
          <cell r="C1108" t="str">
            <v xml:space="preserve">JEFFERSON WEYNER SOA                              </v>
          </cell>
        </row>
        <row r="1109">
          <cell r="B1109">
            <v>513</v>
          </cell>
          <cell r="C1109" t="str">
            <v xml:space="preserve">JEFFERSON WEYNER SOA                              </v>
          </cell>
        </row>
        <row r="1110">
          <cell r="B1110">
            <v>513</v>
          </cell>
          <cell r="C1110" t="str">
            <v xml:space="preserve">JEFFERSON WEYNER SOA                              </v>
          </cell>
        </row>
        <row r="1111">
          <cell r="B1111">
            <v>513</v>
          </cell>
          <cell r="C1111" t="str">
            <v xml:space="preserve">JEFFERSON WEYNER SOA                              </v>
          </cell>
        </row>
        <row r="1112">
          <cell r="B1112">
            <v>513</v>
          </cell>
          <cell r="C1112" t="str">
            <v xml:space="preserve">JEFFERSON WEYNER SOA                              </v>
          </cell>
        </row>
        <row r="1113">
          <cell r="B1113">
            <v>513</v>
          </cell>
          <cell r="C1113" t="str">
            <v xml:space="preserve">JEFFERSON WEYNER SOA                              </v>
          </cell>
        </row>
        <row r="1114">
          <cell r="B1114">
            <v>513</v>
          </cell>
          <cell r="C1114" t="str">
            <v xml:space="preserve">JEFFERSON WEYNER SOA                              </v>
          </cell>
        </row>
        <row r="1115">
          <cell r="B1115">
            <v>513</v>
          </cell>
          <cell r="C1115" t="str">
            <v xml:space="preserve">JEFFERSON WEYNER SOA                              </v>
          </cell>
        </row>
        <row r="1116">
          <cell r="B1116">
            <v>513</v>
          </cell>
          <cell r="C1116" t="str">
            <v xml:space="preserve">JEFFERSON WEYNER SOA                              </v>
          </cell>
        </row>
        <row r="1117">
          <cell r="B1117">
            <v>513</v>
          </cell>
          <cell r="C1117" t="str">
            <v xml:space="preserve">JEFFERSON WEYNER SOA                              </v>
          </cell>
        </row>
        <row r="1118">
          <cell r="B1118">
            <v>513</v>
          </cell>
          <cell r="C1118" t="str">
            <v xml:space="preserve">JEFFERSON WEYNER SOA                              </v>
          </cell>
        </row>
        <row r="1119">
          <cell r="B1119">
            <v>513</v>
          </cell>
          <cell r="C1119" t="str">
            <v xml:space="preserve">JEFFERSON WEYNER SOA                              </v>
          </cell>
        </row>
        <row r="1120">
          <cell r="B1120">
            <v>513</v>
          </cell>
          <cell r="C1120" t="str">
            <v xml:space="preserve">JEFFERSON WEYNER SOA                              </v>
          </cell>
        </row>
        <row r="1121">
          <cell r="B1121">
            <v>513</v>
          </cell>
          <cell r="C1121" t="str">
            <v xml:space="preserve">JEFFERSON WEYNER SOA                              </v>
          </cell>
        </row>
        <row r="1122">
          <cell r="B1122">
            <v>513</v>
          </cell>
          <cell r="C1122" t="str">
            <v xml:space="preserve">JEFFERSON WEYNER SOA                              </v>
          </cell>
        </row>
        <row r="1123">
          <cell r="B1123">
            <v>513</v>
          </cell>
          <cell r="C1123" t="str">
            <v xml:space="preserve">JEFFERSON WEYNER SOA                              </v>
          </cell>
        </row>
        <row r="1124">
          <cell r="B1124">
            <v>513</v>
          </cell>
          <cell r="C1124" t="str">
            <v xml:space="preserve">JEFFERSON WEYNER SOA                              </v>
          </cell>
        </row>
        <row r="1125">
          <cell r="B1125">
            <v>513</v>
          </cell>
          <cell r="C1125" t="str">
            <v xml:space="preserve">JEFFERSON WEYNER SOA                              </v>
          </cell>
        </row>
        <row r="1126">
          <cell r="B1126">
            <v>513</v>
          </cell>
          <cell r="C1126" t="str">
            <v xml:space="preserve">JEFFERSON WEYNER SOA                              </v>
          </cell>
        </row>
        <row r="1127">
          <cell r="B1127">
            <v>513</v>
          </cell>
          <cell r="C1127" t="str">
            <v xml:space="preserve">JEFFERSON WEYNER SOA                              </v>
          </cell>
        </row>
        <row r="1128">
          <cell r="B1128">
            <v>513</v>
          </cell>
          <cell r="C1128" t="str">
            <v xml:space="preserve">JEFFERSON WEYNER SOA                              </v>
          </cell>
        </row>
        <row r="1129">
          <cell r="B1129">
            <v>513</v>
          </cell>
          <cell r="C1129" t="str">
            <v xml:space="preserve">JEFFERSON WEYNER SOA                              </v>
          </cell>
        </row>
        <row r="1130">
          <cell r="B1130">
            <v>513</v>
          </cell>
          <cell r="C1130" t="str">
            <v xml:space="preserve">JEFFERSON WEYNER SOA                              </v>
          </cell>
        </row>
        <row r="1131">
          <cell r="B1131">
            <v>513</v>
          </cell>
          <cell r="C1131" t="str">
            <v xml:space="preserve">JEFFERSON WEYNER SOA                              </v>
          </cell>
        </row>
        <row r="1132">
          <cell r="B1132">
            <v>513</v>
          </cell>
          <cell r="C1132" t="str">
            <v xml:space="preserve">JEFFERSON WEYNER SOA                              </v>
          </cell>
        </row>
        <row r="1133">
          <cell r="B1133">
            <v>513</v>
          </cell>
          <cell r="C1133" t="str">
            <v xml:space="preserve">JEFFERSON WEYNER SOA                              </v>
          </cell>
        </row>
        <row r="1134">
          <cell r="B1134">
            <v>513</v>
          </cell>
          <cell r="C1134" t="str">
            <v xml:space="preserve">JEFFERSON WEYNER SOA                              </v>
          </cell>
        </row>
        <row r="1135">
          <cell r="B1135">
            <v>513</v>
          </cell>
          <cell r="C1135" t="str">
            <v xml:space="preserve">JEFFERSON WEYNER SOA                              </v>
          </cell>
        </row>
        <row r="1136">
          <cell r="B1136">
            <v>513</v>
          </cell>
          <cell r="C1136" t="str">
            <v xml:space="preserve">JEFFERSON WEYNER SOA                              </v>
          </cell>
        </row>
        <row r="1137">
          <cell r="B1137">
            <v>513</v>
          </cell>
          <cell r="C1137" t="str">
            <v xml:space="preserve">JEFFERSON WEYNER SOA                              </v>
          </cell>
        </row>
        <row r="1138">
          <cell r="B1138">
            <v>513</v>
          </cell>
          <cell r="C1138" t="str">
            <v xml:space="preserve">JEFFERSON WEYNER SOA                              </v>
          </cell>
        </row>
        <row r="1139">
          <cell r="B1139">
            <v>513</v>
          </cell>
          <cell r="C1139" t="str">
            <v xml:space="preserve">JEFFERSON WEYNER SOA                              </v>
          </cell>
        </row>
        <row r="1140">
          <cell r="B1140">
            <v>513</v>
          </cell>
          <cell r="C1140" t="str">
            <v xml:space="preserve">JEFFERSON WEYNER SOA                              </v>
          </cell>
        </row>
        <row r="1141">
          <cell r="B1141">
            <v>513</v>
          </cell>
          <cell r="C1141" t="str">
            <v xml:space="preserve">JEFFERSON WEYNER SOA                              </v>
          </cell>
        </row>
        <row r="1142">
          <cell r="B1142">
            <v>513</v>
          </cell>
          <cell r="C1142" t="str">
            <v xml:space="preserve">JEFFERSON WEYNER SOA                              </v>
          </cell>
        </row>
        <row r="1143">
          <cell r="B1143">
            <v>513</v>
          </cell>
          <cell r="C1143" t="str">
            <v xml:space="preserve">JEFFERSON WEYNER SOA                              </v>
          </cell>
        </row>
        <row r="1144">
          <cell r="B1144">
            <v>513</v>
          </cell>
          <cell r="C1144" t="str">
            <v xml:space="preserve">JEFFERSON WEYNER SOA                              </v>
          </cell>
        </row>
        <row r="1145">
          <cell r="B1145">
            <v>513</v>
          </cell>
          <cell r="C1145" t="str">
            <v xml:space="preserve">JEFFERSON WEYNER SOA                              </v>
          </cell>
        </row>
        <row r="1146">
          <cell r="B1146">
            <v>513</v>
          </cell>
          <cell r="C1146" t="str">
            <v xml:space="preserve">JEFFERSON WEYNER SOA                              </v>
          </cell>
        </row>
        <row r="1147">
          <cell r="B1147">
            <v>513</v>
          </cell>
          <cell r="C1147" t="str">
            <v xml:space="preserve">JEFFERSON WEYNER SOA                              </v>
          </cell>
        </row>
        <row r="1148">
          <cell r="B1148">
            <v>513</v>
          </cell>
          <cell r="C1148" t="str">
            <v xml:space="preserve">JEFFERSON WEYNER SOA                              </v>
          </cell>
        </row>
        <row r="1149">
          <cell r="B1149">
            <v>513</v>
          </cell>
          <cell r="C1149" t="str">
            <v xml:space="preserve">JEFFERSON WEYNER SOA                              </v>
          </cell>
        </row>
        <row r="1150">
          <cell r="B1150">
            <v>513</v>
          </cell>
          <cell r="C1150" t="str">
            <v xml:space="preserve">JEFFERSON WEYNER SOA                              </v>
          </cell>
        </row>
        <row r="1151">
          <cell r="B1151">
            <v>513</v>
          </cell>
          <cell r="C1151" t="str">
            <v xml:space="preserve">JEFFERSON WEYNER SOA                              </v>
          </cell>
        </row>
        <row r="1152">
          <cell r="B1152">
            <v>513</v>
          </cell>
          <cell r="C1152" t="str">
            <v xml:space="preserve">JEFFERSON WEYNER SOA                              </v>
          </cell>
        </row>
        <row r="1153">
          <cell r="B1153">
            <v>513</v>
          </cell>
          <cell r="C1153" t="str">
            <v xml:space="preserve">JEFFERSON WEYNER SOA                              </v>
          </cell>
        </row>
        <row r="1154">
          <cell r="B1154">
            <v>513</v>
          </cell>
          <cell r="C1154" t="str">
            <v xml:space="preserve">JEFFERSON WEYNER SOA                              </v>
          </cell>
        </row>
        <row r="1155">
          <cell r="B1155">
            <v>513</v>
          </cell>
          <cell r="C1155" t="str">
            <v xml:space="preserve">JEFFERSON WEYNER SOA                              </v>
          </cell>
        </row>
        <row r="1156">
          <cell r="B1156">
            <v>513</v>
          </cell>
          <cell r="C1156" t="str">
            <v xml:space="preserve">JEFFERSON WEYNER SOA                              </v>
          </cell>
        </row>
        <row r="1157">
          <cell r="B1157">
            <v>513</v>
          </cell>
          <cell r="C1157" t="str">
            <v xml:space="preserve">JEFFERSON WEYNER SOA                              </v>
          </cell>
        </row>
        <row r="1158">
          <cell r="B1158">
            <v>513</v>
          </cell>
          <cell r="C1158" t="str">
            <v xml:space="preserve">JEFFERSON WEYNER SOA                              </v>
          </cell>
        </row>
        <row r="1159">
          <cell r="B1159">
            <v>513</v>
          </cell>
          <cell r="C1159" t="str">
            <v xml:space="preserve">JEFFERSON WEYNER SOA                              </v>
          </cell>
        </row>
        <row r="1160">
          <cell r="B1160">
            <v>513</v>
          </cell>
          <cell r="C1160" t="str">
            <v xml:space="preserve">JEFFERSON WEYNER SOA                              </v>
          </cell>
        </row>
        <row r="1161">
          <cell r="B1161">
            <v>513</v>
          </cell>
          <cell r="C1161" t="str">
            <v xml:space="preserve">JEFFERSON WEYNER SOA                              </v>
          </cell>
        </row>
        <row r="1162">
          <cell r="B1162">
            <v>513</v>
          </cell>
          <cell r="C1162" t="str">
            <v xml:space="preserve">JEFFERSON WEYNER SOA                              </v>
          </cell>
        </row>
        <row r="1163">
          <cell r="B1163">
            <v>513</v>
          </cell>
          <cell r="C1163" t="str">
            <v xml:space="preserve">JEFFERSON WEYNER SOA                              </v>
          </cell>
        </row>
        <row r="1164">
          <cell r="B1164">
            <v>513</v>
          </cell>
          <cell r="C1164" t="str">
            <v xml:space="preserve">JEFFERSON WEYNER SOA                              </v>
          </cell>
        </row>
        <row r="1165">
          <cell r="B1165">
            <v>513</v>
          </cell>
          <cell r="C1165" t="str">
            <v xml:space="preserve">JEFFERSON WEYNER SOA                              </v>
          </cell>
        </row>
        <row r="1166">
          <cell r="B1166">
            <v>513</v>
          </cell>
          <cell r="C1166" t="str">
            <v xml:space="preserve">JEFFERSON WEYNER SOA                              </v>
          </cell>
        </row>
        <row r="1167">
          <cell r="B1167">
            <v>513</v>
          </cell>
          <cell r="C1167" t="str">
            <v xml:space="preserve">JEFFERSON WEYNER SOA                              </v>
          </cell>
        </row>
        <row r="1168">
          <cell r="B1168">
            <v>513</v>
          </cell>
          <cell r="C1168" t="str">
            <v xml:space="preserve">JEFFERSON WEYNER SOA                              </v>
          </cell>
        </row>
        <row r="1169">
          <cell r="B1169">
            <v>513</v>
          </cell>
          <cell r="C1169" t="str">
            <v xml:space="preserve">JEFFERSON WEYNER SOA                              </v>
          </cell>
        </row>
        <row r="1170">
          <cell r="B1170">
            <v>513</v>
          </cell>
          <cell r="C1170" t="str">
            <v xml:space="preserve">JEFFERSON WEYNER SOA                              </v>
          </cell>
        </row>
        <row r="1171">
          <cell r="B1171">
            <v>513</v>
          </cell>
          <cell r="C1171" t="str">
            <v xml:space="preserve">JEFFERSON WEYNER SOA                              </v>
          </cell>
        </row>
        <row r="1172">
          <cell r="B1172">
            <v>513</v>
          </cell>
          <cell r="C1172" t="str">
            <v xml:space="preserve">JEFFERSON WEYNER SOA                              </v>
          </cell>
        </row>
        <row r="1173">
          <cell r="B1173">
            <v>513</v>
          </cell>
          <cell r="C1173" t="str">
            <v xml:space="preserve">JEFFERSON WEYNER SOA                              </v>
          </cell>
        </row>
        <row r="1174">
          <cell r="B1174">
            <v>513</v>
          </cell>
          <cell r="C1174" t="str">
            <v xml:space="preserve">JEFFERSON WEYNER SOA                              </v>
          </cell>
        </row>
        <row r="1175">
          <cell r="B1175">
            <v>513</v>
          </cell>
          <cell r="C1175" t="str">
            <v xml:space="preserve">JEFFERSON WEYNER SOA                              </v>
          </cell>
        </row>
        <row r="1176">
          <cell r="B1176">
            <v>513</v>
          </cell>
          <cell r="C1176" t="str">
            <v xml:space="preserve">JEFFERSON WEYNER SOA                              </v>
          </cell>
        </row>
        <row r="1177">
          <cell r="B1177">
            <v>513</v>
          </cell>
          <cell r="C1177" t="str">
            <v xml:space="preserve">JEFFERSON WEYNER SOA                              </v>
          </cell>
        </row>
        <row r="1178">
          <cell r="B1178">
            <v>513</v>
          </cell>
          <cell r="C1178" t="str">
            <v xml:space="preserve">JEFFERSON WEYNER SOA                              </v>
          </cell>
        </row>
        <row r="1179">
          <cell r="B1179">
            <v>513</v>
          </cell>
          <cell r="C1179" t="str">
            <v xml:space="preserve">JEFFERSON WEYNER SOA                              </v>
          </cell>
        </row>
        <row r="1180">
          <cell r="B1180">
            <v>513</v>
          </cell>
          <cell r="C1180" t="str">
            <v xml:space="preserve">JEFFERSON WEYNER SOA                              </v>
          </cell>
        </row>
        <row r="1181">
          <cell r="B1181">
            <v>513</v>
          </cell>
          <cell r="C1181" t="str">
            <v xml:space="preserve">JEFFERSON WEYNER SOA                              </v>
          </cell>
        </row>
        <row r="1182">
          <cell r="B1182">
            <v>513</v>
          </cell>
          <cell r="C1182" t="str">
            <v xml:space="preserve">JEFFERSON WEYNER SOA                              </v>
          </cell>
        </row>
        <row r="1183">
          <cell r="B1183">
            <v>513</v>
          </cell>
          <cell r="C1183" t="str">
            <v xml:space="preserve">JEFFERSON WEYNER SOA                              </v>
          </cell>
        </row>
        <row r="1184">
          <cell r="B1184">
            <v>513</v>
          </cell>
          <cell r="C1184" t="str">
            <v xml:space="preserve">JEFFERSON WEYNER SOA                              </v>
          </cell>
        </row>
        <row r="1185">
          <cell r="B1185">
            <v>513</v>
          </cell>
          <cell r="C1185" t="str">
            <v xml:space="preserve">JEFFERSON WEYNER SOA                              </v>
          </cell>
        </row>
        <row r="1186">
          <cell r="B1186">
            <v>513</v>
          </cell>
          <cell r="C1186" t="str">
            <v xml:space="preserve">JEFFERSON WEYNER SOA                              </v>
          </cell>
        </row>
        <row r="1187">
          <cell r="B1187">
            <v>513</v>
          </cell>
          <cell r="C1187" t="str">
            <v xml:space="preserve">JEFFERSON WEYNER SOA                              </v>
          </cell>
        </row>
        <row r="1188">
          <cell r="B1188">
            <v>513</v>
          </cell>
          <cell r="C1188" t="str">
            <v xml:space="preserve">JEFFERSON WEYNER SOA                              </v>
          </cell>
        </row>
        <row r="1189">
          <cell r="B1189">
            <v>513</v>
          </cell>
          <cell r="C1189" t="str">
            <v xml:space="preserve">JEFFERSON WEYNER SOA                              </v>
          </cell>
        </row>
        <row r="1190">
          <cell r="B1190">
            <v>513</v>
          </cell>
          <cell r="C1190" t="str">
            <v xml:space="preserve">JEFFERSON WEYNER SOA                              </v>
          </cell>
        </row>
        <row r="1191">
          <cell r="B1191">
            <v>513</v>
          </cell>
          <cell r="C1191" t="str">
            <v xml:space="preserve">JEFFERSON WEYNER SOA                              </v>
          </cell>
        </row>
        <row r="1192">
          <cell r="B1192">
            <v>513</v>
          </cell>
          <cell r="C1192" t="str">
            <v xml:space="preserve">JEFFERSON WEYNER SOA                              </v>
          </cell>
        </row>
        <row r="1193">
          <cell r="B1193">
            <v>513</v>
          </cell>
          <cell r="C1193" t="str">
            <v xml:space="preserve">JEFFERSON WEYNER SOA                              </v>
          </cell>
        </row>
        <row r="1194">
          <cell r="B1194">
            <v>513</v>
          </cell>
          <cell r="C1194" t="str">
            <v xml:space="preserve">JEFFERSON WEYNER SOA                              </v>
          </cell>
        </row>
        <row r="1195">
          <cell r="B1195">
            <v>513</v>
          </cell>
          <cell r="C1195" t="str">
            <v xml:space="preserve">JEFFERSON WEYNER SOA                              </v>
          </cell>
        </row>
        <row r="1196">
          <cell r="B1196">
            <v>513</v>
          </cell>
          <cell r="C1196" t="str">
            <v xml:space="preserve">JEFFERSON WEYNER SOA                              </v>
          </cell>
        </row>
        <row r="1197">
          <cell r="B1197">
            <v>513</v>
          </cell>
          <cell r="C1197" t="str">
            <v xml:space="preserve">JEFFERSON WEYNER SOA                              </v>
          </cell>
        </row>
        <row r="1198">
          <cell r="B1198">
            <v>513</v>
          </cell>
          <cell r="C1198" t="str">
            <v xml:space="preserve">JEFFERSON WEYNER SOA                              </v>
          </cell>
        </row>
        <row r="1199">
          <cell r="B1199">
            <v>513</v>
          </cell>
          <cell r="C1199" t="str">
            <v xml:space="preserve">JEFFERSON WEYNER SOA                              </v>
          </cell>
        </row>
        <row r="1200">
          <cell r="B1200">
            <v>513</v>
          </cell>
          <cell r="C1200" t="str">
            <v xml:space="preserve">JEFFERSON WEYNER SOA                              </v>
          </cell>
        </row>
        <row r="1201">
          <cell r="B1201">
            <v>513</v>
          </cell>
          <cell r="C1201" t="str">
            <v xml:space="preserve">JEFFERSON WEYNER SOA                              </v>
          </cell>
        </row>
        <row r="1202">
          <cell r="B1202">
            <v>513</v>
          </cell>
          <cell r="C1202" t="str">
            <v xml:space="preserve">JEFFERSON WEYNER SOA                              </v>
          </cell>
        </row>
        <row r="1203">
          <cell r="B1203">
            <v>513</v>
          </cell>
          <cell r="C1203" t="str">
            <v xml:space="preserve">JEFFERSON WEYNER SOA                              </v>
          </cell>
        </row>
        <row r="1204">
          <cell r="B1204">
            <v>513</v>
          </cell>
          <cell r="C1204" t="str">
            <v xml:space="preserve">JEFFERSON WEYNER SOA                              </v>
          </cell>
        </row>
        <row r="1205">
          <cell r="B1205">
            <v>513</v>
          </cell>
          <cell r="C1205" t="str">
            <v xml:space="preserve">JEFFERSON WEYNER SOA                              </v>
          </cell>
        </row>
        <row r="1206">
          <cell r="B1206">
            <v>513</v>
          </cell>
          <cell r="C1206" t="str">
            <v xml:space="preserve">JEFFERSON WEYNER SOA                              </v>
          </cell>
        </row>
        <row r="1207">
          <cell r="B1207">
            <v>513</v>
          </cell>
          <cell r="C1207" t="str">
            <v xml:space="preserve">JEFFERSON WEYNER SOA                              </v>
          </cell>
        </row>
        <row r="1208">
          <cell r="B1208">
            <v>513</v>
          </cell>
          <cell r="C1208" t="str">
            <v xml:space="preserve">JEFFERSON WEYNER SOA                              </v>
          </cell>
        </row>
        <row r="1209">
          <cell r="B1209">
            <v>513</v>
          </cell>
          <cell r="C1209" t="str">
            <v xml:space="preserve">JEFFERSON WEYNER SOA                              </v>
          </cell>
        </row>
        <row r="1210">
          <cell r="B1210">
            <v>513</v>
          </cell>
          <cell r="C1210" t="str">
            <v xml:space="preserve">JEFFERSON WEYNER SOA                              </v>
          </cell>
        </row>
        <row r="1211">
          <cell r="B1211">
            <v>513</v>
          </cell>
          <cell r="C1211" t="str">
            <v xml:space="preserve">JEFFERSON WEYNER SOA                              </v>
          </cell>
        </row>
        <row r="1212">
          <cell r="B1212">
            <v>513</v>
          </cell>
          <cell r="C1212" t="str">
            <v xml:space="preserve">JEFFERSON WEYNER SOA                              </v>
          </cell>
        </row>
        <row r="1213">
          <cell r="B1213">
            <v>513</v>
          </cell>
          <cell r="C1213" t="str">
            <v xml:space="preserve">JEFFERSON WEYNER SOA                              </v>
          </cell>
        </row>
        <row r="1214">
          <cell r="B1214">
            <v>513</v>
          </cell>
          <cell r="C1214" t="str">
            <v xml:space="preserve">JEFFERSON WEYNER SOA                              </v>
          </cell>
        </row>
        <row r="1215">
          <cell r="B1215">
            <v>513</v>
          </cell>
          <cell r="C1215" t="str">
            <v xml:space="preserve">JEFFERSON WEYNER SOA                              </v>
          </cell>
        </row>
        <row r="1216">
          <cell r="B1216">
            <v>513</v>
          </cell>
          <cell r="C1216" t="str">
            <v xml:space="preserve">JEFFERSON WEYNER SOA                              </v>
          </cell>
        </row>
        <row r="1217">
          <cell r="B1217">
            <v>513</v>
          </cell>
          <cell r="C1217" t="str">
            <v xml:space="preserve">JEFFERSON WEYNER SOA                              </v>
          </cell>
        </row>
        <row r="1218">
          <cell r="B1218">
            <v>513</v>
          </cell>
          <cell r="C1218" t="str">
            <v xml:space="preserve">JEFFERSON WEYNER SOA                              </v>
          </cell>
        </row>
        <row r="1219">
          <cell r="B1219">
            <v>513</v>
          </cell>
          <cell r="C1219" t="str">
            <v xml:space="preserve">JEFFERSON WEYNER SOA                              </v>
          </cell>
        </row>
        <row r="1220">
          <cell r="B1220">
            <v>513</v>
          </cell>
          <cell r="C1220" t="str">
            <v xml:space="preserve">JEFFERSON WEYNER SOA                              </v>
          </cell>
        </row>
        <row r="1221">
          <cell r="B1221">
            <v>513</v>
          </cell>
          <cell r="C1221" t="str">
            <v xml:space="preserve">JEFFERSON WEYNER SOA                              </v>
          </cell>
        </row>
        <row r="1222">
          <cell r="B1222">
            <v>513</v>
          </cell>
          <cell r="C1222" t="str">
            <v xml:space="preserve">JEFFERSON WEYNER SOA                              </v>
          </cell>
        </row>
        <row r="1223">
          <cell r="B1223">
            <v>513</v>
          </cell>
          <cell r="C1223" t="str">
            <v xml:space="preserve">JEFFERSON WEYNER SOA                              </v>
          </cell>
        </row>
        <row r="1224">
          <cell r="B1224">
            <v>513</v>
          </cell>
          <cell r="C1224" t="str">
            <v xml:space="preserve">JEFFERSON WEYNER SOA                              </v>
          </cell>
        </row>
        <row r="1225">
          <cell r="B1225">
            <v>513</v>
          </cell>
          <cell r="C1225" t="str">
            <v xml:space="preserve">JEFFERSON WEYNER SOA                              </v>
          </cell>
        </row>
        <row r="1226">
          <cell r="B1226">
            <v>513</v>
          </cell>
          <cell r="C1226" t="str">
            <v xml:space="preserve">JEFFERSON WEYNER SOA                              </v>
          </cell>
        </row>
        <row r="1227">
          <cell r="B1227">
            <v>513</v>
          </cell>
          <cell r="C1227" t="str">
            <v xml:space="preserve">JEFFERSON WEYNER SOA                              </v>
          </cell>
        </row>
        <row r="1228">
          <cell r="B1228">
            <v>513</v>
          </cell>
          <cell r="C1228" t="str">
            <v xml:space="preserve">JEFFERSON WEYNER SOA                              </v>
          </cell>
        </row>
        <row r="1229">
          <cell r="B1229">
            <v>513</v>
          </cell>
          <cell r="C1229" t="str">
            <v xml:space="preserve">JEFFERSON WEYNER SOA                              </v>
          </cell>
        </row>
        <row r="1230">
          <cell r="B1230">
            <v>513</v>
          </cell>
          <cell r="C1230" t="str">
            <v xml:space="preserve">JEFFERSON WEYNER SOA                              </v>
          </cell>
        </row>
        <row r="1231">
          <cell r="B1231">
            <v>513</v>
          </cell>
          <cell r="C1231" t="str">
            <v xml:space="preserve">JEFFERSON WEYNER SOA                              </v>
          </cell>
        </row>
        <row r="1232">
          <cell r="B1232">
            <v>513</v>
          </cell>
          <cell r="C1232" t="str">
            <v xml:space="preserve">JEFFERSON WEYNER SOA                              </v>
          </cell>
        </row>
        <row r="1233">
          <cell r="B1233">
            <v>513</v>
          </cell>
          <cell r="C1233" t="str">
            <v xml:space="preserve">JEFFERSON WEYNER SOA                              </v>
          </cell>
        </row>
        <row r="1234">
          <cell r="B1234">
            <v>513</v>
          </cell>
          <cell r="C1234" t="str">
            <v xml:space="preserve">JEFFERSON WEYNER SOA                              </v>
          </cell>
        </row>
        <row r="1235">
          <cell r="B1235">
            <v>513</v>
          </cell>
          <cell r="C1235" t="str">
            <v xml:space="preserve">JEFFERSON WEYNER SOA                              </v>
          </cell>
        </row>
        <row r="1236">
          <cell r="B1236">
            <v>513</v>
          </cell>
          <cell r="C1236" t="str">
            <v xml:space="preserve">JEFFERSON WEYNER SOA                              </v>
          </cell>
        </row>
        <row r="1237">
          <cell r="B1237">
            <v>513</v>
          </cell>
          <cell r="C1237" t="str">
            <v xml:space="preserve">JEFFERSON WEYNER SOA                              </v>
          </cell>
        </row>
        <row r="1238">
          <cell r="B1238">
            <v>513</v>
          </cell>
          <cell r="C1238" t="str">
            <v xml:space="preserve">JEFFERSON WEYNER SOA                              </v>
          </cell>
        </row>
        <row r="1239">
          <cell r="B1239">
            <v>513</v>
          </cell>
          <cell r="C1239" t="str">
            <v xml:space="preserve">JEFFERSON WEYNER SOA                              </v>
          </cell>
        </row>
        <row r="1240">
          <cell r="B1240">
            <v>513</v>
          </cell>
          <cell r="C1240" t="str">
            <v xml:space="preserve">JEFFERSON WEYNER SOA                              </v>
          </cell>
        </row>
        <row r="1241">
          <cell r="B1241">
            <v>514</v>
          </cell>
          <cell r="C1241" t="str">
            <v xml:space="preserve">JUAN PABLO ALBUQUERQ                              </v>
          </cell>
        </row>
        <row r="1242">
          <cell r="B1242">
            <v>514</v>
          </cell>
          <cell r="C1242" t="str">
            <v xml:space="preserve">JUAN PABLO ALBUQUERQ                              </v>
          </cell>
        </row>
        <row r="1243">
          <cell r="B1243">
            <v>514</v>
          </cell>
          <cell r="C1243" t="str">
            <v xml:space="preserve">JUAN PABLO ALBUQUERQ                              </v>
          </cell>
        </row>
        <row r="1244">
          <cell r="B1244">
            <v>514</v>
          </cell>
          <cell r="C1244" t="str">
            <v xml:space="preserve">JUAN PABLO ALBUQUERQ                              </v>
          </cell>
        </row>
        <row r="1245">
          <cell r="B1245">
            <v>514</v>
          </cell>
          <cell r="C1245" t="str">
            <v xml:space="preserve">JUAN PABLO ALBUQUERQ                              </v>
          </cell>
        </row>
        <row r="1246">
          <cell r="B1246">
            <v>514</v>
          </cell>
          <cell r="C1246" t="str">
            <v xml:space="preserve">JUAN PABLO ALBUQUERQ                              </v>
          </cell>
        </row>
        <row r="1247">
          <cell r="B1247">
            <v>514</v>
          </cell>
          <cell r="C1247" t="str">
            <v xml:space="preserve">JUAN PABLO ALBUQUERQ                              </v>
          </cell>
        </row>
        <row r="1248">
          <cell r="B1248">
            <v>514</v>
          </cell>
          <cell r="C1248" t="str">
            <v xml:space="preserve">JUAN PABLO ALBUQUERQ                              </v>
          </cell>
        </row>
        <row r="1249">
          <cell r="B1249">
            <v>514</v>
          </cell>
          <cell r="C1249" t="str">
            <v xml:space="preserve">JUAN PABLO ALBUQUERQ                              </v>
          </cell>
        </row>
        <row r="1250">
          <cell r="B1250">
            <v>514</v>
          </cell>
          <cell r="C1250" t="str">
            <v xml:space="preserve">JUAN PABLO ALBUQUERQ                              </v>
          </cell>
        </row>
        <row r="1251">
          <cell r="B1251">
            <v>514</v>
          </cell>
          <cell r="C1251" t="str">
            <v xml:space="preserve">JUAN PABLO ALBUQUERQ                              </v>
          </cell>
        </row>
        <row r="1252">
          <cell r="B1252">
            <v>514</v>
          </cell>
          <cell r="C1252" t="str">
            <v xml:space="preserve">JUAN PABLO ALBUQUERQ                              </v>
          </cell>
        </row>
        <row r="1253">
          <cell r="B1253">
            <v>514</v>
          </cell>
          <cell r="C1253" t="str">
            <v xml:space="preserve">JUAN PABLO ALBUQUERQ                              </v>
          </cell>
        </row>
        <row r="1254">
          <cell r="B1254">
            <v>514</v>
          </cell>
          <cell r="C1254" t="str">
            <v xml:space="preserve">JUAN PABLO ALBUQUERQ                              </v>
          </cell>
        </row>
        <row r="1255">
          <cell r="B1255">
            <v>514</v>
          </cell>
          <cell r="C1255" t="str">
            <v xml:space="preserve">JUAN PABLO ALBUQUERQ                              </v>
          </cell>
        </row>
        <row r="1256">
          <cell r="B1256">
            <v>514</v>
          </cell>
          <cell r="C1256" t="str">
            <v xml:space="preserve">JUAN PABLO ALBUQUERQ                              </v>
          </cell>
        </row>
        <row r="1257">
          <cell r="B1257">
            <v>514</v>
          </cell>
          <cell r="C1257" t="str">
            <v xml:space="preserve">JUAN PABLO ALBUQUERQ                              </v>
          </cell>
        </row>
        <row r="1258">
          <cell r="B1258">
            <v>514</v>
          </cell>
          <cell r="C1258" t="str">
            <v xml:space="preserve">JUAN PABLO ALBUQUERQ                              </v>
          </cell>
        </row>
        <row r="1259">
          <cell r="B1259">
            <v>514</v>
          </cell>
          <cell r="C1259" t="str">
            <v xml:space="preserve">JUAN PABLO ALBUQUERQ                              </v>
          </cell>
        </row>
        <row r="1260">
          <cell r="B1260">
            <v>514</v>
          </cell>
          <cell r="C1260" t="str">
            <v xml:space="preserve">JUAN PABLO ALBUQUERQ                              </v>
          </cell>
        </row>
        <row r="1261">
          <cell r="B1261">
            <v>514</v>
          </cell>
          <cell r="C1261" t="str">
            <v xml:space="preserve">JUAN PABLO ALBUQUERQ                              </v>
          </cell>
        </row>
        <row r="1262">
          <cell r="B1262">
            <v>514</v>
          </cell>
          <cell r="C1262" t="str">
            <v xml:space="preserve">JUAN PABLO ALBUQUERQ                              </v>
          </cell>
        </row>
        <row r="1263">
          <cell r="B1263">
            <v>514</v>
          </cell>
          <cell r="C1263" t="str">
            <v xml:space="preserve">JUAN PABLO ALBUQUERQ                              </v>
          </cell>
        </row>
        <row r="1264">
          <cell r="B1264">
            <v>514</v>
          </cell>
          <cell r="C1264" t="str">
            <v xml:space="preserve">JUAN PABLO ALBUQUERQ                              </v>
          </cell>
        </row>
        <row r="1265">
          <cell r="B1265">
            <v>514</v>
          </cell>
          <cell r="C1265" t="str">
            <v xml:space="preserve">JUAN PABLO ALBUQUERQ                              </v>
          </cell>
        </row>
        <row r="1266">
          <cell r="B1266">
            <v>514</v>
          </cell>
          <cell r="C1266" t="str">
            <v xml:space="preserve">JUAN PABLO ALBUQUERQ                              </v>
          </cell>
        </row>
        <row r="1267">
          <cell r="B1267">
            <v>514</v>
          </cell>
          <cell r="C1267" t="str">
            <v xml:space="preserve">JUAN PABLO ALBUQUERQ                              </v>
          </cell>
        </row>
        <row r="1268">
          <cell r="B1268">
            <v>514</v>
          </cell>
          <cell r="C1268" t="str">
            <v xml:space="preserve">JUAN PABLO ALBUQUERQ                              </v>
          </cell>
        </row>
        <row r="1269">
          <cell r="B1269">
            <v>514</v>
          </cell>
          <cell r="C1269" t="str">
            <v xml:space="preserve">JUAN PABLO ALBUQUERQ                              </v>
          </cell>
        </row>
        <row r="1270">
          <cell r="B1270">
            <v>514</v>
          </cell>
          <cell r="C1270" t="str">
            <v xml:space="preserve">JUAN PABLO ALBUQUERQ                              </v>
          </cell>
        </row>
        <row r="1271">
          <cell r="B1271">
            <v>514</v>
          </cell>
          <cell r="C1271" t="str">
            <v xml:space="preserve">JUAN PABLO ALBUQUERQ                              </v>
          </cell>
        </row>
        <row r="1272">
          <cell r="B1272">
            <v>514</v>
          </cell>
          <cell r="C1272" t="str">
            <v xml:space="preserve">JUAN PABLO ALBUQUERQ                              </v>
          </cell>
        </row>
        <row r="1273">
          <cell r="B1273">
            <v>514</v>
          </cell>
          <cell r="C1273" t="str">
            <v xml:space="preserve">JUAN PABLO ALBUQUERQ                              </v>
          </cell>
        </row>
        <row r="1274">
          <cell r="B1274">
            <v>514</v>
          </cell>
          <cell r="C1274" t="str">
            <v xml:space="preserve">JUAN PABLO ALBUQUERQ                              </v>
          </cell>
        </row>
        <row r="1275">
          <cell r="B1275">
            <v>514</v>
          </cell>
          <cell r="C1275" t="str">
            <v xml:space="preserve">JUAN PABLO ALBUQUERQ                              </v>
          </cell>
        </row>
        <row r="1276">
          <cell r="B1276">
            <v>514</v>
          </cell>
          <cell r="C1276" t="str">
            <v xml:space="preserve">JUAN PABLO ALBUQUERQ                              </v>
          </cell>
        </row>
        <row r="1277">
          <cell r="B1277">
            <v>514</v>
          </cell>
          <cell r="C1277" t="str">
            <v xml:space="preserve">JUAN PABLO ALBUQUERQ                              </v>
          </cell>
        </row>
        <row r="1278">
          <cell r="B1278">
            <v>514</v>
          </cell>
          <cell r="C1278" t="str">
            <v xml:space="preserve">JUAN PABLO ALBUQUERQ                              </v>
          </cell>
        </row>
        <row r="1279">
          <cell r="B1279">
            <v>514</v>
          </cell>
          <cell r="C1279" t="str">
            <v xml:space="preserve">JUAN PABLO ALBUQUERQ                              </v>
          </cell>
        </row>
        <row r="1280">
          <cell r="B1280">
            <v>514</v>
          </cell>
          <cell r="C1280" t="str">
            <v xml:space="preserve">JUAN PABLO ALBUQUERQ                              </v>
          </cell>
        </row>
        <row r="1281">
          <cell r="B1281">
            <v>514</v>
          </cell>
          <cell r="C1281" t="str">
            <v xml:space="preserve">JUAN PABLO ALBUQUERQ                              </v>
          </cell>
        </row>
        <row r="1282">
          <cell r="B1282">
            <v>514</v>
          </cell>
          <cell r="C1282" t="str">
            <v xml:space="preserve">JUAN PABLO ALBUQUERQ                              </v>
          </cell>
        </row>
        <row r="1283">
          <cell r="B1283">
            <v>514</v>
          </cell>
          <cell r="C1283" t="str">
            <v xml:space="preserve">JUAN PABLO ALBUQUERQ                              </v>
          </cell>
        </row>
        <row r="1284">
          <cell r="B1284">
            <v>514</v>
          </cell>
          <cell r="C1284" t="str">
            <v xml:space="preserve">JUAN PABLO ALBUQUERQ                              </v>
          </cell>
        </row>
        <row r="1285">
          <cell r="B1285">
            <v>514</v>
          </cell>
          <cell r="C1285" t="str">
            <v xml:space="preserve">JUAN PABLO ALBUQUERQ                              </v>
          </cell>
        </row>
        <row r="1286">
          <cell r="B1286">
            <v>514</v>
          </cell>
          <cell r="C1286" t="str">
            <v xml:space="preserve">JUAN PABLO ALBUQUERQ                              </v>
          </cell>
        </row>
        <row r="1287">
          <cell r="B1287">
            <v>514</v>
          </cell>
          <cell r="C1287" t="str">
            <v xml:space="preserve">JUAN PABLO ALBUQUERQ                              </v>
          </cell>
        </row>
        <row r="1288">
          <cell r="B1288">
            <v>514</v>
          </cell>
          <cell r="C1288" t="str">
            <v xml:space="preserve">JUAN PABLO ALBUQUERQ                              </v>
          </cell>
        </row>
        <row r="1289">
          <cell r="B1289">
            <v>514</v>
          </cell>
          <cell r="C1289" t="str">
            <v xml:space="preserve">JUAN PABLO ALBUQUERQ                              </v>
          </cell>
        </row>
        <row r="1290">
          <cell r="B1290">
            <v>514</v>
          </cell>
          <cell r="C1290" t="str">
            <v xml:space="preserve">JUAN PABLO ALBUQUERQ                              </v>
          </cell>
        </row>
        <row r="1291">
          <cell r="B1291">
            <v>514</v>
          </cell>
          <cell r="C1291" t="str">
            <v xml:space="preserve">JUAN PABLO ALBUQUERQ                              </v>
          </cell>
        </row>
        <row r="1292">
          <cell r="B1292">
            <v>514</v>
          </cell>
          <cell r="C1292" t="str">
            <v xml:space="preserve">JUAN PABLO ALBUQUERQ                              </v>
          </cell>
        </row>
        <row r="1293">
          <cell r="B1293">
            <v>514</v>
          </cell>
          <cell r="C1293" t="str">
            <v xml:space="preserve">JUAN PABLO ALBUQUERQ                              </v>
          </cell>
        </row>
        <row r="1294">
          <cell r="B1294">
            <v>514</v>
          </cell>
          <cell r="C1294" t="str">
            <v xml:space="preserve">JUAN PABLO ALBUQUERQ                              </v>
          </cell>
        </row>
        <row r="1295">
          <cell r="B1295">
            <v>514</v>
          </cell>
          <cell r="C1295" t="str">
            <v xml:space="preserve">JUAN PABLO ALBUQUERQ                              </v>
          </cell>
        </row>
        <row r="1296">
          <cell r="B1296">
            <v>514</v>
          </cell>
          <cell r="C1296" t="str">
            <v xml:space="preserve">JUAN PABLO ALBUQUERQ                              </v>
          </cell>
        </row>
        <row r="1297">
          <cell r="B1297">
            <v>514</v>
          </cell>
          <cell r="C1297" t="str">
            <v xml:space="preserve">JUAN PABLO ALBUQUERQ                              </v>
          </cell>
        </row>
        <row r="1298">
          <cell r="B1298">
            <v>514</v>
          </cell>
          <cell r="C1298" t="str">
            <v xml:space="preserve">JUAN PABLO ALBUQUERQ                              </v>
          </cell>
        </row>
        <row r="1299">
          <cell r="B1299">
            <v>514</v>
          </cell>
          <cell r="C1299" t="str">
            <v xml:space="preserve">JUAN PABLO ALBUQUERQ                              </v>
          </cell>
        </row>
        <row r="1300">
          <cell r="B1300">
            <v>514</v>
          </cell>
          <cell r="C1300" t="str">
            <v xml:space="preserve">JUAN PABLO ALBUQUERQ                              </v>
          </cell>
        </row>
        <row r="1301">
          <cell r="B1301">
            <v>514</v>
          </cell>
          <cell r="C1301" t="str">
            <v xml:space="preserve">JUAN PABLO ALBUQUERQ                              </v>
          </cell>
        </row>
        <row r="1302">
          <cell r="B1302">
            <v>514</v>
          </cell>
          <cell r="C1302" t="str">
            <v xml:space="preserve">JUAN PABLO ALBUQUERQ                              </v>
          </cell>
        </row>
        <row r="1303">
          <cell r="B1303">
            <v>514</v>
          </cell>
          <cell r="C1303" t="str">
            <v xml:space="preserve">JUAN PABLO ALBUQUERQ                              </v>
          </cell>
        </row>
        <row r="1304">
          <cell r="B1304">
            <v>514</v>
          </cell>
          <cell r="C1304" t="str">
            <v xml:space="preserve">JUAN PABLO ALBUQUERQ                              </v>
          </cell>
        </row>
        <row r="1305">
          <cell r="B1305">
            <v>514</v>
          </cell>
          <cell r="C1305" t="str">
            <v xml:space="preserve">JUAN PABLO ALBUQUERQ                              </v>
          </cell>
        </row>
        <row r="1306">
          <cell r="B1306">
            <v>514</v>
          </cell>
          <cell r="C1306" t="str">
            <v xml:space="preserve">JUAN PABLO ALBUQUERQ                              </v>
          </cell>
        </row>
        <row r="1307">
          <cell r="B1307">
            <v>514</v>
          </cell>
          <cell r="C1307" t="str">
            <v xml:space="preserve">JUAN PABLO ALBUQUERQ                              </v>
          </cell>
        </row>
        <row r="1308">
          <cell r="B1308">
            <v>514</v>
          </cell>
          <cell r="C1308" t="str">
            <v xml:space="preserve">JUAN PABLO ALBUQUERQ                              </v>
          </cell>
        </row>
        <row r="1309">
          <cell r="B1309">
            <v>514</v>
          </cell>
          <cell r="C1309" t="str">
            <v xml:space="preserve">JUAN PABLO ALBUQUERQ                              </v>
          </cell>
        </row>
        <row r="1310">
          <cell r="B1310">
            <v>514</v>
          </cell>
          <cell r="C1310" t="str">
            <v xml:space="preserve">JUAN PABLO ALBUQUERQ                              </v>
          </cell>
        </row>
        <row r="1311">
          <cell r="B1311">
            <v>514</v>
          </cell>
          <cell r="C1311" t="str">
            <v xml:space="preserve">JUAN PABLO ALBUQUERQ                              </v>
          </cell>
        </row>
        <row r="1312">
          <cell r="B1312">
            <v>514</v>
          </cell>
          <cell r="C1312" t="str">
            <v xml:space="preserve">JUAN PABLO ALBUQUERQ                              </v>
          </cell>
        </row>
        <row r="1313">
          <cell r="B1313">
            <v>514</v>
          </cell>
          <cell r="C1313" t="str">
            <v xml:space="preserve">JUAN PABLO ALBUQUERQ                              </v>
          </cell>
        </row>
        <row r="1314">
          <cell r="B1314">
            <v>514</v>
          </cell>
          <cell r="C1314" t="str">
            <v xml:space="preserve">JUAN PABLO ALBUQUERQ                              </v>
          </cell>
        </row>
        <row r="1315">
          <cell r="B1315">
            <v>514</v>
          </cell>
          <cell r="C1315" t="str">
            <v xml:space="preserve">JUAN PABLO ALBUQUERQ                              </v>
          </cell>
        </row>
        <row r="1316">
          <cell r="B1316">
            <v>514</v>
          </cell>
          <cell r="C1316" t="str">
            <v xml:space="preserve">JUAN PABLO ALBUQUERQ                              </v>
          </cell>
        </row>
        <row r="1317">
          <cell r="B1317">
            <v>514</v>
          </cell>
          <cell r="C1317" t="str">
            <v xml:space="preserve">JUAN PABLO ALBUQUERQ                              </v>
          </cell>
        </row>
        <row r="1318">
          <cell r="B1318">
            <v>514</v>
          </cell>
          <cell r="C1318" t="str">
            <v xml:space="preserve">JUAN PABLO ALBUQUERQ                              </v>
          </cell>
        </row>
        <row r="1319">
          <cell r="B1319">
            <v>514</v>
          </cell>
          <cell r="C1319" t="str">
            <v xml:space="preserve">JUAN PABLO ALBUQUERQ                              </v>
          </cell>
        </row>
        <row r="1320">
          <cell r="B1320">
            <v>514</v>
          </cell>
          <cell r="C1320" t="str">
            <v xml:space="preserve">JUAN PABLO ALBUQUERQ                              </v>
          </cell>
        </row>
        <row r="1321">
          <cell r="B1321">
            <v>514</v>
          </cell>
          <cell r="C1321" t="str">
            <v xml:space="preserve">JUAN PABLO ALBUQUERQ                              </v>
          </cell>
        </row>
        <row r="1322">
          <cell r="B1322">
            <v>514</v>
          </cell>
          <cell r="C1322" t="str">
            <v xml:space="preserve">JUAN PABLO ALBUQUERQ                              </v>
          </cell>
        </row>
        <row r="1323">
          <cell r="B1323">
            <v>514</v>
          </cell>
          <cell r="C1323" t="str">
            <v xml:space="preserve">JUAN PABLO ALBUQUERQ                              </v>
          </cell>
        </row>
        <row r="1324">
          <cell r="B1324">
            <v>514</v>
          </cell>
          <cell r="C1324" t="str">
            <v xml:space="preserve">JUAN PABLO ALBUQUERQ                              </v>
          </cell>
        </row>
        <row r="1325">
          <cell r="B1325">
            <v>514</v>
          </cell>
          <cell r="C1325" t="str">
            <v xml:space="preserve">JUAN PABLO ALBUQUERQ                              </v>
          </cell>
        </row>
        <row r="1326">
          <cell r="B1326">
            <v>514</v>
          </cell>
          <cell r="C1326" t="str">
            <v xml:space="preserve">JUAN PABLO ALBUQUERQ                              </v>
          </cell>
        </row>
        <row r="1327">
          <cell r="B1327">
            <v>514</v>
          </cell>
          <cell r="C1327" t="str">
            <v xml:space="preserve">JUAN PABLO ALBUQUERQ                              </v>
          </cell>
        </row>
        <row r="1328">
          <cell r="B1328">
            <v>514</v>
          </cell>
          <cell r="C1328" t="str">
            <v xml:space="preserve">JUAN PABLO ALBUQUERQ                              </v>
          </cell>
        </row>
        <row r="1329">
          <cell r="B1329">
            <v>514</v>
          </cell>
          <cell r="C1329" t="str">
            <v xml:space="preserve">JUAN PABLO ALBUQUERQ                              </v>
          </cell>
        </row>
        <row r="1330">
          <cell r="B1330">
            <v>514</v>
          </cell>
          <cell r="C1330" t="str">
            <v xml:space="preserve">JUAN PABLO ALBUQUERQ                              </v>
          </cell>
        </row>
        <row r="1331">
          <cell r="B1331">
            <v>514</v>
          </cell>
          <cell r="C1331" t="str">
            <v xml:space="preserve">JUAN PABLO ALBUQUERQ                              </v>
          </cell>
        </row>
        <row r="1332">
          <cell r="B1332">
            <v>514</v>
          </cell>
          <cell r="C1332" t="str">
            <v xml:space="preserve">JUAN PABLO ALBUQUERQ                              </v>
          </cell>
        </row>
        <row r="1333">
          <cell r="B1333">
            <v>514</v>
          </cell>
          <cell r="C1333" t="str">
            <v xml:space="preserve">JUAN PABLO ALBUQUERQ                              </v>
          </cell>
        </row>
        <row r="1334">
          <cell r="B1334">
            <v>514</v>
          </cell>
          <cell r="C1334" t="str">
            <v xml:space="preserve">JUAN PABLO ALBUQUERQ                              </v>
          </cell>
        </row>
        <row r="1335">
          <cell r="B1335">
            <v>514</v>
          </cell>
          <cell r="C1335" t="str">
            <v xml:space="preserve">JUAN PABLO ALBUQUERQ                              </v>
          </cell>
        </row>
        <row r="1336">
          <cell r="B1336">
            <v>514</v>
          </cell>
          <cell r="C1336" t="str">
            <v xml:space="preserve">JUAN PABLO ALBUQUERQ                              </v>
          </cell>
        </row>
        <row r="1337">
          <cell r="B1337">
            <v>514</v>
          </cell>
          <cell r="C1337" t="str">
            <v xml:space="preserve">JUAN PABLO ALBUQUERQ                              </v>
          </cell>
        </row>
        <row r="1338">
          <cell r="B1338">
            <v>514</v>
          </cell>
          <cell r="C1338" t="str">
            <v xml:space="preserve">JUAN PABLO ALBUQUERQ                              </v>
          </cell>
        </row>
        <row r="1339">
          <cell r="B1339">
            <v>514</v>
          </cell>
          <cell r="C1339" t="str">
            <v xml:space="preserve">JUAN PABLO ALBUQUERQ                              </v>
          </cell>
        </row>
        <row r="1340">
          <cell r="B1340">
            <v>514</v>
          </cell>
          <cell r="C1340" t="str">
            <v xml:space="preserve">JUAN PABLO ALBUQUERQ                              </v>
          </cell>
        </row>
        <row r="1341">
          <cell r="B1341">
            <v>514</v>
          </cell>
          <cell r="C1341" t="str">
            <v xml:space="preserve">JUAN PABLO ALBUQUERQ                              </v>
          </cell>
        </row>
        <row r="1342">
          <cell r="B1342">
            <v>514</v>
          </cell>
          <cell r="C1342" t="str">
            <v xml:space="preserve">JUAN PABLO ALBUQUERQ                              </v>
          </cell>
        </row>
        <row r="1343">
          <cell r="B1343">
            <v>514</v>
          </cell>
          <cell r="C1343" t="str">
            <v xml:space="preserve">JUAN PABLO ALBUQUERQ                              </v>
          </cell>
        </row>
        <row r="1344">
          <cell r="B1344">
            <v>514</v>
          </cell>
          <cell r="C1344" t="str">
            <v xml:space="preserve">JUAN PABLO ALBUQUERQ                              </v>
          </cell>
        </row>
        <row r="1345">
          <cell r="B1345">
            <v>514</v>
          </cell>
          <cell r="C1345" t="str">
            <v xml:space="preserve">JUAN PABLO ALBUQUERQ                              </v>
          </cell>
        </row>
        <row r="1346">
          <cell r="B1346">
            <v>514</v>
          </cell>
          <cell r="C1346" t="str">
            <v xml:space="preserve">JUAN PABLO ALBUQUERQ                              </v>
          </cell>
        </row>
        <row r="1347">
          <cell r="B1347">
            <v>514</v>
          </cell>
          <cell r="C1347" t="str">
            <v xml:space="preserve">JUAN PABLO ALBUQUERQ                              </v>
          </cell>
        </row>
        <row r="1348">
          <cell r="B1348">
            <v>514</v>
          </cell>
          <cell r="C1348" t="str">
            <v xml:space="preserve">JUAN PABLO ALBUQUERQ                              </v>
          </cell>
        </row>
        <row r="1349">
          <cell r="B1349">
            <v>514</v>
          </cell>
          <cell r="C1349" t="str">
            <v xml:space="preserve">JUAN PABLO ALBUQUERQ                              </v>
          </cell>
        </row>
        <row r="1350">
          <cell r="B1350">
            <v>514</v>
          </cell>
          <cell r="C1350" t="str">
            <v xml:space="preserve">JUAN PABLO ALBUQUERQ                              </v>
          </cell>
        </row>
        <row r="1351">
          <cell r="B1351">
            <v>514</v>
          </cell>
          <cell r="C1351" t="str">
            <v xml:space="preserve">JUAN PABLO ALBUQUERQ                              </v>
          </cell>
        </row>
        <row r="1352">
          <cell r="B1352">
            <v>514</v>
          </cell>
          <cell r="C1352" t="str">
            <v xml:space="preserve">JUAN PABLO ALBUQUERQ                              </v>
          </cell>
        </row>
        <row r="1353">
          <cell r="B1353">
            <v>514</v>
          </cell>
          <cell r="C1353" t="str">
            <v xml:space="preserve">JUAN PABLO ALBUQUERQ                              </v>
          </cell>
        </row>
        <row r="1354">
          <cell r="B1354">
            <v>514</v>
          </cell>
          <cell r="C1354" t="str">
            <v xml:space="preserve">JUAN PABLO ALBUQUERQ                              </v>
          </cell>
        </row>
        <row r="1355">
          <cell r="B1355">
            <v>514</v>
          </cell>
          <cell r="C1355" t="str">
            <v xml:space="preserve">JUAN PABLO ALBUQUERQ                              </v>
          </cell>
        </row>
        <row r="1356">
          <cell r="B1356">
            <v>514</v>
          </cell>
          <cell r="C1356" t="str">
            <v xml:space="preserve">JUAN PABLO ALBUQUERQ                              </v>
          </cell>
        </row>
        <row r="1357">
          <cell r="B1357">
            <v>514</v>
          </cell>
          <cell r="C1357" t="str">
            <v xml:space="preserve">JUAN PABLO ALBUQUERQ                              </v>
          </cell>
        </row>
        <row r="1358">
          <cell r="B1358">
            <v>514</v>
          </cell>
          <cell r="C1358" t="str">
            <v xml:space="preserve">JUAN PABLO ALBUQUERQ                              </v>
          </cell>
        </row>
        <row r="1359">
          <cell r="B1359">
            <v>514</v>
          </cell>
          <cell r="C1359" t="str">
            <v xml:space="preserve">JUAN PABLO ALBUQUERQ                              </v>
          </cell>
        </row>
        <row r="1360">
          <cell r="B1360">
            <v>514</v>
          </cell>
          <cell r="C1360" t="str">
            <v xml:space="preserve">JUAN PABLO ALBUQUERQ                              </v>
          </cell>
        </row>
        <row r="1361">
          <cell r="B1361">
            <v>514</v>
          </cell>
          <cell r="C1361" t="str">
            <v xml:space="preserve">JUAN PABLO ALBUQUERQ                              </v>
          </cell>
        </row>
        <row r="1362">
          <cell r="B1362">
            <v>514</v>
          </cell>
          <cell r="C1362" t="str">
            <v xml:space="preserve">JUAN PABLO ALBUQUERQ                              </v>
          </cell>
        </row>
        <row r="1363">
          <cell r="B1363">
            <v>514</v>
          </cell>
          <cell r="C1363" t="str">
            <v xml:space="preserve">JUAN PABLO ALBUQUERQ                              </v>
          </cell>
        </row>
        <row r="1364">
          <cell r="B1364">
            <v>514</v>
          </cell>
          <cell r="C1364" t="str">
            <v xml:space="preserve">JUAN PABLO ALBUQUERQ                              </v>
          </cell>
        </row>
        <row r="1365">
          <cell r="B1365">
            <v>514</v>
          </cell>
          <cell r="C1365" t="str">
            <v xml:space="preserve">JUAN PABLO ALBUQUERQ                              </v>
          </cell>
        </row>
        <row r="1366">
          <cell r="B1366">
            <v>514</v>
          </cell>
          <cell r="C1366" t="str">
            <v xml:space="preserve">JUAN PABLO ALBUQUERQ                              </v>
          </cell>
        </row>
        <row r="1367">
          <cell r="B1367">
            <v>514</v>
          </cell>
          <cell r="C1367" t="str">
            <v xml:space="preserve">JUAN PABLO ALBUQUERQ                              </v>
          </cell>
        </row>
        <row r="1368">
          <cell r="B1368">
            <v>514</v>
          </cell>
          <cell r="C1368" t="str">
            <v xml:space="preserve">JUAN PABLO ALBUQUERQ                              </v>
          </cell>
        </row>
        <row r="1369">
          <cell r="B1369">
            <v>514</v>
          </cell>
          <cell r="C1369" t="str">
            <v xml:space="preserve">JUAN PABLO ALBUQUERQ                              </v>
          </cell>
        </row>
        <row r="1370">
          <cell r="B1370">
            <v>514</v>
          </cell>
          <cell r="C1370" t="str">
            <v xml:space="preserve">JUAN PABLO ALBUQUERQ                              </v>
          </cell>
        </row>
        <row r="1371">
          <cell r="B1371">
            <v>514</v>
          </cell>
          <cell r="C1371" t="str">
            <v xml:space="preserve">JUAN PABLO ALBUQUERQ                              </v>
          </cell>
        </row>
        <row r="1372">
          <cell r="B1372">
            <v>514</v>
          </cell>
          <cell r="C1372" t="str">
            <v xml:space="preserve">JUAN PABLO ALBUQUERQ                              </v>
          </cell>
        </row>
        <row r="1373">
          <cell r="B1373">
            <v>514</v>
          </cell>
          <cell r="C1373" t="str">
            <v xml:space="preserve">JUAN PABLO ALBUQUERQ                              </v>
          </cell>
        </row>
        <row r="1374">
          <cell r="B1374">
            <v>514</v>
          </cell>
          <cell r="C1374" t="str">
            <v xml:space="preserve">JUAN PABLO ALBUQUERQ                              </v>
          </cell>
        </row>
        <row r="1375">
          <cell r="B1375">
            <v>514</v>
          </cell>
          <cell r="C1375" t="str">
            <v xml:space="preserve">JUAN PABLO ALBUQUERQ                              </v>
          </cell>
        </row>
        <row r="1376">
          <cell r="B1376">
            <v>514</v>
          </cell>
          <cell r="C1376" t="str">
            <v xml:space="preserve">JUAN PABLO ALBUQUERQ                              </v>
          </cell>
        </row>
        <row r="1377">
          <cell r="B1377">
            <v>514</v>
          </cell>
          <cell r="C1377" t="str">
            <v xml:space="preserve">JUAN PABLO ALBUQUERQ                              </v>
          </cell>
        </row>
        <row r="1378">
          <cell r="B1378">
            <v>514</v>
          </cell>
          <cell r="C1378" t="str">
            <v xml:space="preserve">JUAN PABLO ALBUQUERQ                              </v>
          </cell>
        </row>
        <row r="1379">
          <cell r="B1379">
            <v>514</v>
          </cell>
          <cell r="C1379" t="str">
            <v xml:space="preserve">JUAN PABLO ALBUQUERQ                              </v>
          </cell>
        </row>
        <row r="1380">
          <cell r="B1380">
            <v>514</v>
          </cell>
          <cell r="C1380" t="str">
            <v xml:space="preserve">JUAN PABLO ALBUQUERQ                              </v>
          </cell>
        </row>
        <row r="1381">
          <cell r="B1381">
            <v>514</v>
          </cell>
          <cell r="C1381" t="str">
            <v xml:space="preserve">JUAN PABLO ALBUQUERQ                              </v>
          </cell>
        </row>
        <row r="1382">
          <cell r="B1382">
            <v>514</v>
          </cell>
          <cell r="C1382" t="str">
            <v xml:space="preserve">JUAN PABLO ALBUQUERQ                              </v>
          </cell>
        </row>
        <row r="1383">
          <cell r="B1383">
            <v>514</v>
          </cell>
          <cell r="C1383" t="str">
            <v xml:space="preserve">JUAN PABLO ALBUQUERQ                              </v>
          </cell>
        </row>
        <row r="1384">
          <cell r="B1384">
            <v>514</v>
          </cell>
          <cell r="C1384" t="str">
            <v xml:space="preserve">JUAN PABLO ALBUQUERQ                              </v>
          </cell>
        </row>
        <row r="1385">
          <cell r="B1385">
            <v>514</v>
          </cell>
          <cell r="C1385" t="str">
            <v xml:space="preserve">JUAN PABLO ALBUQUERQ                              </v>
          </cell>
        </row>
        <row r="1386">
          <cell r="B1386">
            <v>514</v>
          </cell>
          <cell r="C1386" t="str">
            <v xml:space="preserve">JUAN PABLO ALBUQUERQ                              </v>
          </cell>
        </row>
        <row r="1387">
          <cell r="B1387">
            <v>514</v>
          </cell>
          <cell r="C1387" t="str">
            <v xml:space="preserve">JUAN PABLO ALBUQUERQ                              </v>
          </cell>
        </row>
        <row r="1388">
          <cell r="B1388">
            <v>514</v>
          </cell>
          <cell r="C1388" t="str">
            <v xml:space="preserve">JUAN PABLO ALBUQUERQ                              </v>
          </cell>
        </row>
        <row r="1389">
          <cell r="B1389">
            <v>514</v>
          </cell>
          <cell r="C1389" t="str">
            <v xml:space="preserve">JUAN PABLO ALBUQUERQ                              </v>
          </cell>
        </row>
        <row r="1390">
          <cell r="B1390">
            <v>514</v>
          </cell>
          <cell r="C1390" t="str">
            <v xml:space="preserve">JUAN PABLO ALBUQUERQ                              </v>
          </cell>
        </row>
        <row r="1391">
          <cell r="B1391">
            <v>514</v>
          </cell>
          <cell r="C1391" t="str">
            <v xml:space="preserve">JUAN PABLO ALBUQUERQ                              </v>
          </cell>
        </row>
        <row r="1392">
          <cell r="B1392">
            <v>514</v>
          </cell>
          <cell r="C1392" t="str">
            <v xml:space="preserve">JUAN PABLO ALBUQUERQ                              </v>
          </cell>
        </row>
        <row r="1393">
          <cell r="B1393">
            <v>514</v>
          </cell>
          <cell r="C1393" t="str">
            <v xml:space="preserve">JUAN PABLO ALBUQUERQ                              </v>
          </cell>
        </row>
        <row r="1394">
          <cell r="B1394">
            <v>514</v>
          </cell>
          <cell r="C1394" t="str">
            <v xml:space="preserve">JUAN PABLO ALBUQUERQ                              </v>
          </cell>
        </row>
        <row r="1395">
          <cell r="B1395">
            <v>514</v>
          </cell>
          <cell r="C1395" t="str">
            <v xml:space="preserve">JUAN PABLO ALBUQUERQ                              </v>
          </cell>
        </row>
        <row r="1396">
          <cell r="B1396">
            <v>514</v>
          </cell>
          <cell r="C1396" t="str">
            <v xml:space="preserve">JUAN PABLO ALBUQUERQ                              </v>
          </cell>
        </row>
        <row r="1397">
          <cell r="B1397">
            <v>514</v>
          </cell>
          <cell r="C1397" t="str">
            <v xml:space="preserve">JUAN PABLO ALBUQUERQ                              </v>
          </cell>
        </row>
        <row r="1398">
          <cell r="B1398">
            <v>514</v>
          </cell>
          <cell r="C1398" t="str">
            <v xml:space="preserve">JUAN PABLO ALBUQUERQ                              </v>
          </cell>
        </row>
        <row r="1399">
          <cell r="B1399">
            <v>514</v>
          </cell>
          <cell r="C1399" t="str">
            <v xml:space="preserve">JUAN PABLO ALBUQUERQ                              </v>
          </cell>
        </row>
        <row r="1400">
          <cell r="B1400">
            <v>514</v>
          </cell>
          <cell r="C1400" t="str">
            <v xml:space="preserve">JUAN PABLO ALBUQUERQ                              </v>
          </cell>
        </row>
        <row r="1401">
          <cell r="B1401">
            <v>514</v>
          </cell>
          <cell r="C1401" t="str">
            <v xml:space="preserve">JUAN PABLO ALBUQUERQ                              </v>
          </cell>
        </row>
        <row r="1402">
          <cell r="B1402">
            <v>514</v>
          </cell>
          <cell r="C1402" t="str">
            <v xml:space="preserve">JUAN PABLO ALBUQUERQ                              </v>
          </cell>
        </row>
        <row r="1403">
          <cell r="B1403">
            <v>514</v>
          </cell>
          <cell r="C1403" t="str">
            <v xml:space="preserve">JUAN PABLO ALBUQUERQ                              </v>
          </cell>
        </row>
        <row r="1404">
          <cell r="B1404">
            <v>514</v>
          </cell>
          <cell r="C1404" t="str">
            <v xml:space="preserve">JUAN PABLO ALBUQUERQ                              </v>
          </cell>
        </row>
        <row r="1405">
          <cell r="B1405">
            <v>514</v>
          </cell>
          <cell r="C1405" t="str">
            <v xml:space="preserve">JUAN PABLO ALBUQUERQ                              </v>
          </cell>
        </row>
        <row r="1406">
          <cell r="B1406">
            <v>514</v>
          </cell>
          <cell r="C1406" t="str">
            <v xml:space="preserve">JUAN PABLO ALBUQUERQ                              </v>
          </cell>
        </row>
        <row r="1407">
          <cell r="B1407">
            <v>514</v>
          </cell>
          <cell r="C1407" t="str">
            <v xml:space="preserve">JUAN PABLO ALBUQUERQ                              </v>
          </cell>
        </row>
        <row r="1408">
          <cell r="B1408">
            <v>514</v>
          </cell>
          <cell r="C1408" t="str">
            <v xml:space="preserve">JUAN PABLO ALBUQUERQ                              </v>
          </cell>
        </row>
        <row r="1409">
          <cell r="B1409">
            <v>514</v>
          </cell>
          <cell r="C1409" t="str">
            <v xml:space="preserve">JUAN PABLO ALBUQUERQ                              </v>
          </cell>
        </row>
        <row r="1410">
          <cell r="B1410">
            <v>514</v>
          </cell>
          <cell r="C1410" t="str">
            <v xml:space="preserve">JUAN PABLO ALBUQUERQ                              </v>
          </cell>
        </row>
        <row r="1411">
          <cell r="B1411">
            <v>514</v>
          </cell>
          <cell r="C1411" t="str">
            <v xml:space="preserve">JUAN PABLO ALBUQUERQ                              </v>
          </cell>
        </row>
        <row r="1412">
          <cell r="B1412">
            <v>514</v>
          </cell>
          <cell r="C1412" t="str">
            <v xml:space="preserve">JUAN PABLO ALBUQUERQ                              </v>
          </cell>
        </row>
        <row r="1413">
          <cell r="B1413">
            <v>514</v>
          </cell>
          <cell r="C1413" t="str">
            <v xml:space="preserve">JUAN PABLO ALBUQUERQ                              </v>
          </cell>
        </row>
        <row r="1414">
          <cell r="B1414">
            <v>514</v>
          </cell>
          <cell r="C1414" t="str">
            <v xml:space="preserve">JUAN PABLO ALBUQUERQ                              </v>
          </cell>
        </row>
        <row r="1415">
          <cell r="B1415">
            <v>514</v>
          </cell>
          <cell r="C1415" t="str">
            <v xml:space="preserve">JUAN PABLO ALBUQUERQ                              </v>
          </cell>
        </row>
        <row r="1416">
          <cell r="B1416">
            <v>514</v>
          </cell>
          <cell r="C1416" t="str">
            <v xml:space="preserve">JUAN PABLO ALBUQUERQ                              </v>
          </cell>
        </row>
        <row r="1417">
          <cell r="B1417">
            <v>514</v>
          </cell>
          <cell r="C1417" t="str">
            <v xml:space="preserve">JUAN PABLO ALBUQUERQ                              </v>
          </cell>
        </row>
        <row r="1418">
          <cell r="B1418">
            <v>514</v>
          </cell>
          <cell r="C1418" t="str">
            <v xml:space="preserve">JUAN PABLO ALBUQUERQ                              </v>
          </cell>
        </row>
        <row r="1419">
          <cell r="B1419">
            <v>514</v>
          </cell>
          <cell r="C1419" t="str">
            <v xml:space="preserve">JUAN PABLO ALBUQUERQ                              </v>
          </cell>
        </row>
        <row r="1420">
          <cell r="B1420">
            <v>514</v>
          </cell>
          <cell r="C1420" t="str">
            <v xml:space="preserve">JUAN PABLO ALBUQUERQ                              </v>
          </cell>
        </row>
        <row r="1421">
          <cell r="B1421">
            <v>514</v>
          </cell>
          <cell r="C1421" t="str">
            <v xml:space="preserve">JUAN PABLO ALBUQUERQ                              </v>
          </cell>
        </row>
        <row r="1422">
          <cell r="B1422">
            <v>514</v>
          </cell>
          <cell r="C1422" t="str">
            <v xml:space="preserve">JUAN PABLO ALBUQUERQ                              </v>
          </cell>
        </row>
        <row r="1423">
          <cell r="B1423">
            <v>514</v>
          </cell>
          <cell r="C1423" t="str">
            <v xml:space="preserve">JUAN PABLO ALBUQUERQ                              </v>
          </cell>
        </row>
        <row r="1424">
          <cell r="B1424">
            <v>514</v>
          </cell>
          <cell r="C1424" t="str">
            <v xml:space="preserve">JUAN PABLO ALBUQUERQ                              </v>
          </cell>
        </row>
        <row r="1425">
          <cell r="B1425">
            <v>514</v>
          </cell>
          <cell r="C1425" t="str">
            <v xml:space="preserve">JUAN PABLO ALBUQUERQ                              </v>
          </cell>
        </row>
        <row r="1426">
          <cell r="B1426">
            <v>514</v>
          </cell>
          <cell r="C1426" t="str">
            <v xml:space="preserve">JUAN PABLO ALBUQUERQ                              </v>
          </cell>
        </row>
        <row r="1427">
          <cell r="B1427">
            <v>514</v>
          </cell>
          <cell r="C1427" t="str">
            <v xml:space="preserve">JUAN PABLO ALBUQUERQ                              </v>
          </cell>
        </row>
        <row r="1428">
          <cell r="B1428">
            <v>514</v>
          </cell>
          <cell r="C1428" t="str">
            <v xml:space="preserve">JUAN PABLO ALBUQUERQ                              </v>
          </cell>
        </row>
        <row r="1429">
          <cell r="B1429">
            <v>514</v>
          </cell>
          <cell r="C1429" t="str">
            <v xml:space="preserve">JUAN PABLO ALBUQUERQ                              </v>
          </cell>
        </row>
        <row r="1430">
          <cell r="B1430">
            <v>514</v>
          </cell>
          <cell r="C1430" t="str">
            <v xml:space="preserve">JUAN PABLO ALBUQUERQ                              </v>
          </cell>
        </row>
        <row r="1431">
          <cell r="B1431">
            <v>514</v>
          </cell>
          <cell r="C1431" t="str">
            <v xml:space="preserve">JUAN PABLO ALBUQUERQ                              </v>
          </cell>
        </row>
        <row r="1432">
          <cell r="B1432">
            <v>514</v>
          </cell>
          <cell r="C1432" t="str">
            <v xml:space="preserve">JUAN PABLO ALBUQUERQ                              </v>
          </cell>
        </row>
        <row r="1433">
          <cell r="B1433">
            <v>514</v>
          </cell>
          <cell r="C1433" t="str">
            <v xml:space="preserve">JUAN PABLO ALBUQUERQ                              </v>
          </cell>
        </row>
        <row r="1434">
          <cell r="B1434">
            <v>514</v>
          </cell>
          <cell r="C1434" t="str">
            <v xml:space="preserve">JUAN PABLO ALBUQUERQ                              </v>
          </cell>
        </row>
        <row r="1435">
          <cell r="B1435">
            <v>514</v>
          </cell>
          <cell r="C1435" t="str">
            <v xml:space="preserve">JUAN PABLO ALBUQUERQ                              </v>
          </cell>
        </row>
        <row r="1436">
          <cell r="B1436">
            <v>514</v>
          </cell>
          <cell r="C1436" t="str">
            <v xml:space="preserve">JUAN PABLO ALBUQUERQ                              </v>
          </cell>
        </row>
        <row r="1437">
          <cell r="B1437">
            <v>514</v>
          </cell>
          <cell r="C1437" t="str">
            <v xml:space="preserve">JUAN PABLO ALBUQUERQ                              </v>
          </cell>
        </row>
        <row r="1438">
          <cell r="B1438">
            <v>514</v>
          </cell>
          <cell r="C1438" t="str">
            <v xml:space="preserve">JUAN PABLO ALBUQUERQ                              </v>
          </cell>
        </row>
        <row r="1439">
          <cell r="B1439">
            <v>515</v>
          </cell>
          <cell r="C1439" t="str">
            <v xml:space="preserve">JOSE LUCIVAN MUNIZ                                </v>
          </cell>
        </row>
        <row r="1440">
          <cell r="B1440">
            <v>515</v>
          </cell>
          <cell r="C1440" t="str">
            <v xml:space="preserve">JOSE LUCIVAN MUNIZ                                </v>
          </cell>
        </row>
        <row r="1441">
          <cell r="B1441">
            <v>515</v>
          </cell>
          <cell r="C1441" t="str">
            <v xml:space="preserve">JOSE LUCIVAN MUNIZ                                </v>
          </cell>
        </row>
        <row r="1442">
          <cell r="B1442">
            <v>515</v>
          </cell>
          <cell r="C1442" t="str">
            <v xml:space="preserve">JOSE LUCIVAN MUNIZ                                </v>
          </cell>
        </row>
        <row r="1443">
          <cell r="B1443">
            <v>515</v>
          </cell>
          <cell r="C1443" t="str">
            <v xml:space="preserve">JOSE LUCIVAN MUNIZ                                </v>
          </cell>
        </row>
        <row r="1444">
          <cell r="B1444">
            <v>515</v>
          </cell>
          <cell r="C1444" t="str">
            <v xml:space="preserve">JOSE LUCIVAN MUNIZ                                </v>
          </cell>
        </row>
        <row r="1445">
          <cell r="B1445">
            <v>515</v>
          </cell>
          <cell r="C1445" t="str">
            <v xml:space="preserve">JOSE LUCIVAN MUNIZ                                </v>
          </cell>
        </row>
        <row r="1446">
          <cell r="B1446">
            <v>515</v>
          </cell>
          <cell r="C1446" t="str">
            <v xml:space="preserve">JOSE LUCIVAN MUNIZ                                </v>
          </cell>
        </row>
        <row r="1447">
          <cell r="B1447">
            <v>515</v>
          </cell>
          <cell r="C1447" t="str">
            <v xml:space="preserve">JOSE LUCIVAN MUNIZ                                </v>
          </cell>
        </row>
        <row r="1448">
          <cell r="B1448">
            <v>515</v>
          </cell>
          <cell r="C1448" t="str">
            <v xml:space="preserve">JOSE LUCIVAN MUNIZ                                </v>
          </cell>
        </row>
        <row r="1449">
          <cell r="B1449">
            <v>515</v>
          </cell>
          <cell r="C1449" t="str">
            <v xml:space="preserve">JOSE LUCIVAN MUNIZ                                </v>
          </cell>
        </row>
        <row r="1450">
          <cell r="B1450">
            <v>515</v>
          </cell>
          <cell r="C1450" t="str">
            <v xml:space="preserve">JOSE LUCIVAN MUNIZ                                </v>
          </cell>
        </row>
        <row r="1451">
          <cell r="B1451">
            <v>515</v>
          </cell>
          <cell r="C1451" t="str">
            <v xml:space="preserve">JOSE LUCIVAN MUNIZ                                </v>
          </cell>
        </row>
        <row r="1452">
          <cell r="B1452">
            <v>515</v>
          </cell>
          <cell r="C1452" t="str">
            <v xml:space="preserve">JOSE LUCIVAN MUNIZ                                </v>
          </cell>
        </row>
        <row r="1453">
          <cell r="B1453">
            <v>515</v>
          </cell>
          <cell r="C1453" t="str">
            <v xml:space="preserve">JOSE LUCIVAN MUNIZ                                </v>
          </cell>
        </row>
        <row r="1454">
          <cell r="B1454">
            <v>515</v>
          </cell>
          <cell r="C1454" t="str">
            <v xml:space="preserve">JOSE LUCIVAN MUNIZ                                </v>
          </cell>
        </row>
        <row r="1455">
          <cell r="B1455">
            <v>515</v>
          </cell>
          <cell r="C1455" t="str">
            <v xml:space="preserve">JOSE LUCIVAN MUNIZ                                </v>
          </cell>
        </row>
        <row r="1456">
          <cell r="B1456">
            <v>515</v>
          </cell>
          <cell r="C1456" t="str">
            <v xml:space="preserve">JOSE LUCIVAN MUNIZ                                </v>
          </cell>
        </row>
        <row r="1457">
          <cell r="B1457">
            <v>515</v>
          </cell>
          <cell r="C1457" t="str">
            <v xml:space="preserve">JOSE LUCIVAN MUNIZ                                </v>
          </cell>
        </row>
        <row r="1458">
          <cell r="B1458">
            <v>515</v>
          </cell>
          <cell r="C1458" t="str">
            <v xml:space="preserve">JOSE LUCIVAN MUNIZ                                </v>
          </cell>
        </row>
        <row r="1459">
          <cell r="B1459">
            <v>515</v>
          </cell>
          <cell r="C1459" t="str">
            <v xml:space="preserve">JOSE LUCIVAN MUNIZ                                </v>
          </cell>
        </row>
        <row r="1460">
          <cell r="B1460">
            <v>515</v>
          </cell>
          <cell r="C1460" t="str">
            <v xml:space="preserve">JOSE LUCIVAN MUNIZ                                </v>
          </cell>
        </row>
        <row r="1461">
          <cell r="B1461">
            <v>515</v>
          </cell>
          <cell r="C1461" t="str">
            <v xml:space="preserve">JOSE LUCIVAN MUNIZ                                </v>
          </cell>
        </row>
        <row r="1462">
          <cell r="B1462">
            <v>515</v>
          </cell>
          <cell r="C1462" t="str">
            <v xml:space="preserve">JOSE LUCIVAN MUNIZ                                </v>
          </cell>
        </row>
        <row r="1463">
          <cell r="B1463">
            <v>515</v>
          </cell>
          <cell r="C1463" t="str">
            <v xml:space="preserve">JOSE LUCIVAN MUNIZ                                </v>
          </cell>
        </row>
        <row r="1464">
          <cell r="B1464">
            <v>515</v>
          </cell>
          <cell r="C1464" t="str">
            <v xml:space="preserve">JOSE LUCIVAN MUNIZ                                </v>
          </cell>
        </row>
        <row r="1465">
          <cell r="B1465">
            <v>515</v>
          </cell>
          <cell r="C1465" t="str">
            <v xml:space="preserve">JOSE LUCIVAN MUNIZ                                </v>
          </cell>
        </row>
        <row r="1466">
          <cell r="B1466">
            <v>515</v>
          </cell>
          <cell r="C1466" t="str">
            <v xml:space="preserve">JOSE LUCIVAN MUNIZ                                </v>
          </cell>
        </row>
        <row r="1467">
          <cell r="B1467">
            <v>515</v>
          </cell>
          <cell r="C1467" t="str">
            <v xml:space="preserve">JOSE LUCIVAN MUNIZ                                </v>
          </cell>
        </row>
        <row r="1468">
          <cell r="B1468">
            <v>515</v>
          </cell>
          <cell r="C1468" t="str">
            <v xml:space="preserve">JOSE LUCIVAN MUNIZ                                </v>
          </cell>
        </row>
        <row r="1469">
          <cell r="B1469">
            <v>515</v>
          </cell>
          <cell r="C1469" t="str">
            <v xml:space="preserve">JOSE LUCIVAN MUNIZ                                </v>
          </cell>
        </row>
        <row r="1470">
          <cell r="B1470">
            <v>515</v>
          </cell>
          <cell r="C1470" t="str">
            <v xml:space="preserve">JOSE LUCIVAN MUNIZ                                </v>
          </cell>
        </row>
        <row r="1471">
          <cell r="B1471">
            <v>515</v>
          </cell>
          <cell r="C1471" t="str">
            <v xml:space="preserve">JOSE LUCIVAN MUNIZ                                </v>
          </cell>
        </row>
        <row r="1472">
          <cell r="B1472">
            <v>515</v>
          </cell>
          <cell r="C1472" t="str">
            <v xml:space="preserve">JOSE LUCIVAN MUNIZ                                </v>
          </cell>
        </row>
        <row r="1473">
          <cell r="B1473">
            <v>515</v>
          </cell>
          <cell r="C1473" t="str">
            <v xml:space="preserve">JOSE LUCIVAN MUNIZ                                </v>
          </cell>
        </row>
        <row r="1474">
          <cell r="B1474">
            <v>515</v>
          </cell>
          <cell r="C1474" t="str">
            <v xml:space="preserve">JOSE LUCIVAN MUNIZ                                </v>
          </cell>
        </row>
        <row r="1475">
          <cell r="B1475">
            <v>515</v>
          </cell>
          <cell r="C1475" t="str">
            <v xml:space="preserve">JOSE LUCIVAN MUNIZ                                </v>
          </cell>
        </row>
        <row r="1476">
          <cell r="B1476">
            <v>515</v>
          </cell>
          <cell r="C1476" t="str">
            <v xml:space="preserve">JOSE LUCIVAN MUNIZ                                </v>
          </cell>
        </row>
        <row r="1477">
          <cell r="B1477">
            <v>515</v>
          </cell>
          <cell r="C1477" t="str">
            <v xml:space="preserve">JOSE LUCIVAN MUNIZ                                </v>
          </cell>
        </row>
        <row r="1478">
          <cell r="B1478">
            <v>515</v>
          </cell>
          <cell r="C1478" t="str">
            <v xml:space="preserve">JOSE LUCIVAN MUNIZ                                </v>
          </cell>
        </row>
        <row r="1479">
          <cell r="B1479">
            <v>515</v>
          </cell>
          <cell r="C1479" t="str">
            <v xml:space="preserve">JOSE LUCIVAN MUNIZ                                </v>
          </cell>
        </row>
        <row r="1480">
          <cell r="B1480">
            <v>515</v>
          </cell>
          <cell r="C1480" t="str">
            <v xml:space="preserve">JOSE LUCIVAN MUNIZ                                </v>
          </cell>
        </row>
        <row r="1481">
          <cell r="B1481">
            <v>515</v>
          </cell>
          <cell r="C1481" t="str">
            <v xml:space="preserve">JOSE LUCIVAN MUNIZ                                </v>
          </cell>
        </row>
        <row r="1482">
          <cell r="B1482">
            <v>515</v>
          </cell>
          <cell r="C1482" t="str">
            <v xml:space="preserve">JOSE LUCIVAN MUNIZ                                </v>
          </cell>
        </row>
        <row r="1483">
          <cell r="B1483">
            <v>515</v>
          </cell>
          <cell r="C1483" t="str">
            <v xml:space="preserve">JOSE LUCIVAN MUNIZ                                </v>
          </cell>
        </row>
        <row r="1484">
          <cell r="B1484">
            <v>515</v>
          </cell>
          <cell r="C1484" t="str">
            <v xml:space="preserve">JOSE LUCIVAN MUNIZ                                </v>
          </cell>
        </row>
        <row r="1485">
          <cell r="B1485">
            <v>515</v>
          </cell>
          <cell r="C1485" t="str">
            <v xml:space="preserve">JOSE LUCIVAN MUNIZ                                </v>
          </cell>
        </row>
        <row r="1486">
          <cell r="B1486">
            <v>515</v>
          </cell>
          <cell r="C1486" t="str">
            <v xml:space="preserve">JOSE LUCIVAN MUNIZ                                </v>
          </cell>
        </row>
        <row r="1487">
          <cell r="B1487">
            <v>515</v>
          </cell>
          <cell r="C1487" t="str">
            <v xml:space="preserve">JOSE LUCIVAN MUNIZ                                </v>
          </cell>
        </row>
        <row r="1488">
          <cell r="B1488">
            <v>515</v>
          </cell>
          <cell r="C1488" t="str">
            <v xml:space="preserve">JOSE LUCIVAN MUNIZ                                </v>
          </cell>
        </row>
        <row r="1489">
          <cell r="B1489">
            <v>515</v>
          </cell>
          <cell r="C1489" t="str">
            <v xml:space="preserve">JOSE LUCIVAN MUNIZ                                </v>
          </cell>
        </row>
        <row r="1490">
          <cell r="B1490">
            <v>515</v>
          </cell>
          <cell r="C1490" t="str">
            <v xml:space="preserve">JOSE LUCIVAN MUNIZ                                </v>
          </cell>
        </row>
        <row r="1491">
          <cell r="B1491">
            <v>515</v>
          </cell>
          <cell r="C1491" t="str">
            <v xml:space="preserve">JOSE LUCIVAN MUNIZ                                </v>
          </cell>
        </row>
        <row r="1492">
          <cell r="B1492">
            <v>515</v>
          </cell>
          <cell r="C1492" t="str">
            <v xml:space="preserve">JOSE LUCIVAN MUNIZ                                </v>
          </cell>
        </row>
        <row r="1493">
          <cell r="B1493">
            <v>515</v>
          </cell>
          <cell r="C1493" t="str">
            <v xml:space="preserve">JOSE LUCIVAN MUNIZ                                </v>
          </cell>
        </row>
        <row r="1494">
          <cell r="B1494">
            <v>515</v>
          </cell>
          <cell r="C1494" t="str">
            <v xml:space="preserve">JOSE LUCIVAN MUNIZ                                </v>
          </cell>
        </row>
        <row r="1495">
          <cell r="B1495">
            <v>515</v>
          </cell>
          <cell r="C1495" t="str">
            <v xml:space="preserve">JOSE LUCIVAN MUNIZ                                </v>
          </cell>
        </row>
        <row r="1496">
          <cell r="B1496">
            <v>515</v>
          </cell>
          <cell r="C1496" t="str">
            <v xml:space="preserve">JOSE LUCIVAN MUNIZ                                </v>
          </cell>
        </row>
        <row r="1497">
          <cell r="B1497">
            <v>515</v>
          </cell>
          <cell r="C1497" t="str">
            <v xml:space="preserve">JOSE LUCIVAN MUNIZ                                </v>
          </cell>
        </row>
        <row r="1498">
          <cell r="B1498">
            <v>515</v>
          </cell>
          <cell r="C1498" t="str">
            <v xml:space="preserve">JOSE LUCIVAN MUNIZ                                </v>
          </cell>
        </row>
        <row r="1499">
          <cell r="B1499">
            <v>515</v>
          </cell>
          <cell r="C1499" t="str">
            <v xml:space="preserve">JOSE LUCIVAN MUNIZ                                </v>
          </cell>
        </row>
        <row r="1500">
          <cell r="B1500">
            <v>515</v>
          </cell>
          <cell r="C1500" t="str">
            <v xml:space="preserve">JOSE LUCIVAN MUNIZ                                </v>
          </cell>
        </row>
        <row r="1501">
          <cell r="B1501">
            <v>515</v>
          </cell>
          <cell r="C1501" t="str">
            <v xml:space="preserve">JOSE LUCIVAN MUNIZ                                </v>
          </cell>
        </row>
        <row r="1502">
          <cell r="B1502">
            <v>515</v>
          </cell>
          <cell r="C1502" t="str">
            <v xml:space="preserve">JOSE LUCIVAN MUNIZ                                </v>
          </cell>
        </row>
        <row r="1503">
          <cell r="B1503">
            <v>515</v>
          </cell>
          <cell r="C1503" t="str">
            <v xml:space="preserve">JOSE LUCIVAN MUNIZ                                </v>
          </cell>
        </row>
        <row r="1504">
          <cell r="B1504">
            <v>515</v>
          </cell>
          <cell r="C1504" t="str">
            <v xml:space="preserve">JOSE LUCIVAN MUNIZ                                </v>
          </cell>
        </row>
        <row r="1505">
          <cell r="B1505">
            <v>515</v>
          </cell>
          <cell r="C1505" t="str">
            <v xml:space="preserve">JOSE LUCIVAN MUNIZ                                </v>
          </cell>
        </row>
        <row r="1506">
          <cell r="B1506">
            <v>515</v>
          </cell>
          <cell r="C1506" t="str">
            <v xml:space="preserve">JOSE LUCIVAN MUNIZ                                </v>
          </cell>
        </row>
        <row r="1507">
          <cell r="B1507">
            <v>515</v>
          </cell>
          <cell r="C1507" t="str">
            <v xml:space="preserve">JOSE LUCIVAN MUNIZ                                </v>
          </cell>
        </row>
        <row r="1508">
          <cell r="B1508">
            <v>515</v>
          </cell>
          <cell r="C1508" t="str">
            <v xml:space="preserve">JOSE LUCIVAN MUNIZ                                </v>
          </cell>
        </row>
        <row r="1509">
          <cell r="B1509">
            <v>515</v>
          </cell>
          <cell r="C1509" t="str">
            <v xml:space="preserve">JOSE LUCIVAN MUNIZ                                </v>
          </cell>
        </row>
        <row r="1510">
          <cell r="B1510">
            <v>515</v>
          </cell>
          <cell r="C1510" t="str">
            <v xml:space="preserve">JOSE LUCIVAN MUNIZ                                </v>
          </cell>
        </row>
        <row r="1511">
          <cell r="B1511">
            <v>515</v>
          </cell>
          <cell r="C1511" t="str">
            <v xml:space="preserve">JOSE LUCIVAN MUNIZ                                </v>
          </cell>
        </row>
        <row r="1512">
          <cell r="B1512">
            <v>515</v>
          </cell>
          <cell r="C1512" t="str">
            <v xml:space="preserve">JOSE LUCIVAN MUNIZ                                </v>
          </cell>
        </row>
        <row r="1513">
          <cell r="B1513">
            <v>515</v>
          </cell>
          <cell r="C1513" t="str">
            <v xml:space="preserve">JOSE LUCIVAN MUNIZ                                </v>
          </cell>
        </row>
        <row r="1514">
          <cell r="B1514">
            <v>515</v>
          </cell>
          <cell r="C1514" t="str">
            <v xml:space="preserve">JOSE LUCIVAN MUNIZ                                </v>
          </cell>
        </row>
        <row r="1515">
          <cell r="B1515">
            <v>515</v>
          </cell>
          <cell r="C1515" t="str">
            <v xml:space="preserve">JOSE LUCIVAN MUNIZ                                </v>
          </cell>
        </row>
        <row r="1516">
          <cell r="B1516">
            <v>515</v>
          </cell>
          <cell r="C1516" t="str">
            <v xml:space="preserve">JOSE LUCIVAN MUNIZ                                </v>
          </cell>
        </row>
        <row r="1517">
          <cell r="B1517">
            <v>515</v>
          </cell>
          <cell r="C1517" t="str">
            <v xml:space="preserve">JOSE LUCIVAN MUNIZ                                </v>
          </cell>
        </row>
        <row r="1518">
          <cell r="B1518">
            <v>515</v>
          </cell>
          <cell r="C1518" t="str">
            <v xml:space="preserve">JOSE LUCIVAN MUNIZ                                </v>
          </cell>
        </row>
        <row r="1519">
          <cell r="B1519">
            <v>515</v>
          </cell>
          <cell r="C1519" t="str">
            <v xml:space="preserve">JOSE LUCIVAN MUNIZ                                </v>
          </cell>
        </row>
        <row r="1520">
          <cell r="B1520">
            <v>515</v>
          </cell>
          <cell r="C1520" t="str">
            <v xml:space="preserve">JOSE LUCIVAN MUNIZ                                </v>
          </cell>
        </row>
        <row r="1521">
          <cell r="B1521">
            <v>515</v>
          </cell>
          <cell r="C1521" t="str">
            <v xml:space="preserve">JOSE LUCIVAN MUNIZ                                </v>
          </cell>
        </row>
        <row r="1522">
          <cell r="B1522">
            <v>515</v>
          </cell>
          <cell r="C1522" t="str">
            <v xml:space="preserve">JOSE LUCIVAN MUNIZ                                </v>
          </cell>
        </row>
        <row r="1523">
          <cell r="B1523">
            <v>515</v>
          </cell>
          <cell r="C1523" t="str">
            <v xml:space="preserve">JOSE LUCIVAN MUNIZ                                </v>
          </cell>
        </row>
        <row r="1524">
          <cell r="B1524">
            <v>515</v>
          </cell>
          <cell r="C1524" t="str">
            <v xml:space="preserve">JOSE LUCIVAN MUNIZ                                </v>
          </cell>
        </row>
        <row r="1525">
          <cell r="B1525">
            <v>515</v>
          </cell>
          <cell r="C1525" t="str">
            <v xml:space="preserve">JOSE LUCIVAN MUNIZ                                </v>
          </cell>
        </row>
        <row r="1526">
          <cell r="B1526">
            <v>515</v>
          </cell>
          <cell r="C1526" t="str">
            <v xml:space="preserve">JOSE LUCIVAN MUNIZ                                </v>
          </cell>
        </row>
        <row r="1527">
          <cell r="B1527">
            <v>515</v>
          </cell>
          <cell r="C1527" t="str">
            <v xml:space="preserve">JOSE LUCIVAN MUNIZ                                </v>
          </cell>
        </row>
        <row r="1528">
          <cell r="B1528">
            <v>515</v>
          </cell>
          <cell r="C1528" t="str">
            <v xml:space="preserve">JOSE LUCIVAN MUNIZ                                </v>
          </cell>
        </row>
        <row r="1529">
          <cell r="B1529">
            <v>515</v>
          </cell>
          <cell r="C1529" t="str">
            <v xml:space="preserve">JOSE LUCIVAN MUNIZ                                </v>
          </cell>
        </row>
        <row r="1530">
          <cell r="B1530">
            <v>515</v>
          </cell>
          <cell r="C1530" t="str">
            <v xml:space="preserve">JOSE LUCIVAN MUNIZ                                </v>
          </cell>
        </row>
        <row r="1531">
          <cell r="B1531">
            <v>515</v>
          </cell>
          <cell r="C1531" t="str">
            <v xml:space="preserve">JOSE LUCIVAN MUNIZ                                </v>
          </cell>
        </row>
        <row r="1532">
          <cell r="B1532">
            <v>515</v>
          </cell>
          <cell r="C1532" t="str">
            <v xml:space="preserve">JOSE LUCIVAN MUNIZ                                </v>
          </cell>
        </row>
        <row r="1533">
          <cell r="B1533">
            <v>515</v>
          </cell>
          <cell r="C1533" t="str">
            <v xml:space="preserve">JOSE LUCIVAN MUNIZ                                </v>
          </cell>
        </row>
        <row r="1534">
          <cell r="B1534">
            <v>515</v>
          </cell>
          <cell r="C1534" t="str">
            <v xml:space="preserve">JOSE LUCIVAN MUNIZ                                </v>
          </cell>
        </row>
        <row r="1535">
          <cell r="B1535">
            <v>515</v>
          </cell>
          <cell r="C1535" t="str">
            <v xml:space="preserve">JOSE LUCIVAN MUNIZ                                </v>
          </cell>
        </row>
        <row r="1536">
          <cell r="B1536">
            <v>515</v>
          </cell>
          <cell r="C1536" t="str">
            <v xml:space="preserve">JOSE LUCIVAN MUNIZ                                </v>
          </cell>
        </row>
        <row r="1537">
          <cell r="B1537">
            <v>515</v>
          </cell>
          <cell r="C1537" t="str">
            <v xml:space="preserve">JOSE LUCIVAN MUNIZ                                </v>
          </cell>
        </row>
        <row r="1538">
          <cell r="B1538">
            <v>515</v>
          </cell>
          <cell r="C1538" t="str">
            <v xml:space="preserve">JOSE LUCIVAN MUNIZ                                </v>
          </cell>
        </row>
        <row r="1539">
          <cell r="B1539">
            <v>515</v>
          </cell>
          <cell r="C1539" t="str">
            <v xml:space="preserve">JOSE LUCIVAN MUNIZ                                </v>
          </cell>
        </row>
        <row r="1540">
          <cell r="B1540">
            <v>515</v>
          </cell>
          <cell r="C1540" t="str">
            <v xml:space="preserve">JOSE LUCIVAN MUNIZ                                </v>
          </cell>
        </row>
        <row r="1541">
          <cell r="B1541">
            <v>515</v>
          </cell>
          <cell r="C1541" t="str">
            <v xml:space="preserve">JOSE LUCIVAN MUNIZ                                </v>
          </cell>
        </row>
        <row r="1542">
          <cell r="B1542">
            <v>515</v>
          </cell>
          <cell r="C1542" t="str">
            <v xml:space="preserve">JOSE LUCIVAN MUNIZ                                </v>
          </cell>
        </row>
        <row r="1543">
          <cell r="B1543">
            <v>515</v>
          </cell>
          <cell r="C1543" t="str">
            <v xml:space="preserve">JOSE LUCIVAN MUNIZ                                </v>
          </cell>
        </row>
        <row r="1544">
          <cell r="B1544">
            <v>515</v>
          </cell>
          <cell r="C1544" t="str">
            <v xml:space="preserve">JOSE LUCIVAN MUNIZ                                </v>
          </cell>
        </row>
        <row r="1545">
          <cell r="B1545">
            <v>515</v>
          </cell>
          <cell r="C1545" t="str">
            <v xml:space="preserve">JOSE LUCIVAN MUNIZ                                </v>
          </cell>
        </row>
        <row r="1546">
          <cell r="B1546">
            <v>995</v>
          </cell>
          <cell r="C1546" t="str">
            <v xml:space="preserve">SEGMENTADA                                        </v>
          </cell>
        </row>
        <row r="1547">
          <cell r="B1547">
            <v>995</v>
          </cell>
          <cell r="C1547" t="str">
            <v xml:space="preserve">SEGMENTADA                                        </v>
          </cell>
        </row>
        <row r="1548">
          <cell r="B1548">
            <v>995</v>
          </cell>
          <cell r="C1548" t="str">
            <v xml:space="preserve">SEGMENTADA                                        </v>
          </cell>
        </row>
        <row r="1549">
          <cell r="B1549">
            <v>995</v>
          </cell>
          <cell r="C1549" t="str">
            <v xml:space="preserve">SEGMENTADA                                        </v>
          </cell>
        </row>
        <row r="1550">
          <cell r="B1550">
            <v>995</v>
          </cell>
          <cell r="C1550" t="str">
            <v xml:space="preserve">SEGMENTADA                                        </v>
          </cell>
        </row>
        <row r="1551">
          <cell r="B1551">
            <v>995</v>
          </cell>
          <cell r="C1551" t="str">
            <v xml:space="preserve">SEGMENTADA                                        </v>
          </cell>
        </row>
        <row r="1552">
          <cell r="B1552">
            <v>995</v>
          </cell>
          <cell r="C1552" t="str">
            <v xml:space="preserve">SEGMENTADA                                        </v>
          </cell>
        </row>
        <row r="1553">
          <cell r="B1553">
            <v>995</v>
          </cell>
          <cell r="C1553" t="str">
            <v xml:space="preserve">SEGMENTADA                                        </v>
          </cell>
        </row>
        <row r="1554">
          <cell r="B1554">
            <v>995</v>
          </cell>
          <cell r="C1554" t="str">
            <v xml:space="preserve">SEGMENTADA                                        </v>
          </cell>
        </row>
        <row r="1555">
          <cell r="B1555">
            <v>995</v>
          </cell>
          <cell r="C1555" t="str">
            <v xml:space="preserve">SEGMENTADA                                        </v>
          </cell>
        </row>
        <row r="1556">
          <cell r="B1556">
            <v>997</v>
          </cell>
          <cell r="C1556" t="str">
            <v xml:space="preserve">FUNCIONARIO                                       </v>
          </cell>
        </row>
        <row r="1557">
          <cell r="B1557">
            <v>998</v>
          </cell>
          <cell r="C1557" t="str">
            <v xml:space="preserve">INADIMPLÊNCIA                                     </v>
          </cell>
        </row>
        <row r="1558">
          <cell r="B1558">
            <v>998</v>
          </cell>
          <cell r="C1558" t="str">
            <v xml:space="preserve">INADIMPLÊNCIA                                     </v>
          </cell>
        </row>
        <row r="1559">
          <cell r="B1559">
            <v>998</v>
          </cell>
          <cell r="C1559" t="str">
            <v xml:space="preserve">INADIMPLÊNCIA                                     </v>
          </cell>
        </row>
        <row r="1560">
          <cell r="B1560">
            <v>998</v>
          </cell>
          <cell r="C1560" t="str">
            <v xml:space="preserve">INADIMPLÊNCIA                                     </v>
          </cell>
        </row>
        <row r="1561">
          <cell r="B1561">
            <v>998</v>
          </cell>
          <cell r="C1561" t="str">
            <v xml:space="preserve">INADIMPLÊNCIA                                     </v>
          </cell>
        </row>
        <row r="1562">
          <cell r="B1562">
            <v>998</v>
          </cell>
          <cell r="C1562" t="str">
            <v xml:space="preserve">INADIMPLÊNCIA                                     </v>
          </cell>
        </row>
        <row r="1563">
          <cell r="B1563">
            <v>998</v>
          </cell>
          <cell r="C1563" t="str">
            <v xml:space="preserve">INADIMPLÊNCIA                                     </v>
          </cell>
        </row>
        <row r="1564">
          <cell r="B1564">
            <v>999</v>
          </cell>
          <cell r="C1564" t="str">
            <v xml:space="preserve">INATIVAÇÃO                                        </v>
          </cell>
        </row>
        <row r="1565">
          <cell r="B1565">
            <v>999</v>
          </cell>
          <cell r="C1565" t="str">
            <v xml:space="preserve">INATIVAÇÃO                                        </v>
          </cell>
        </row>
        <row r="1566">
          <cell r="B1566">
            <v>999</v>
          </cell>
          <cell r="C1566" t="str">
            <v xml:space="preserve">INATIVAÇÃO                                        </v>
          </cell>
        </row>
        <row r="1567">
          <cell r="B1567">
            <v>999</v>
          </cell>
          <cell r="C1567" t="str">
            <v xml:space="preserve">INATIVAÇÃO                                        </v>
          </cell>
        </row>
        <row r="1568">
          <cell r="B1568">
            <v>999</v>
          </cell>
          <cell r="C1568" t="str">
            <v xml:space="preserve">INATIVAÇÃO                                        </v>
          </cell>
        </row>
        <row r="1569">
          <cell r="B1569">
            <v>999</v>
          </cell>
          <cell r="C1569" t="str">
            <v xml:space="preserve">INATIVAÇÃO                                        </v>
          </cell>
        </row>
        <row r="1570">
          <cell r="B1570">
            <v>999</v>
          </cell>
          <cell r="C1570" t="str">
            <v xml:space="preserve">INATIVAÇÃO                                        </v>
          </cell>
        </row>
        <row r="1571">
          <cell r="B1571">
            <v>999</v>
          </cell>
          <cell r="C1571" t="str">
            <v xml:space="preserve">INATIVAÇÃO                                        </v>
          </cell>
        </row>
        <row r="1572">
          <cell r="B1572">
            <v>999</v>
          </cell>
          <cell r="C1572" t="str">
            <v xml:space="preserve">INATIVAÇÃO                                        </v>
          </cell>
        </row>
        <row r="1573">
          <cell r="B1573">
            <v>999</v>
          </cell>
          <cell r="C1573" t="str">
            <v xml:space="preserve">INATIVAÇÃO                                        </v>
          </cell>
        </row>
        <row r="1574">
          <cell r="B1574">
            <v>999</v>
          </cell>
          <cell r="C1574" t="str">
            <v xml:space="preserve">INATIVAÇÃO                                        </v>
          </cell>
        </row>
        <row r="1575">
          <cell r="B1575">
            <v>999</v>
          </cell>
          <cell r="C1575" t="str">
            <v xml:space="preserve">INATIVAÇÃO                                        </v>
          </cell>
        </row>
        <row r="1576">
          <cell r="B1576">
            <v>999</v>
          </cell>
          <cell r="C1576" t="str">
            <v xml:space="preserve">INATIVAÇÃO                                        </v>
          </cell>
        </row>
        <row r="1577">
          <cell r="B1577">
            <v>999</v>
          </cell>
          <cell r="C1577" t="str">
            <v xml:space="preserve">INATIVAÇÃO                                        </v>
          </cell>
        </row>
        <row r="1578">
          <cell r="B1578">
            <v>999</v>
          </cell>
          <cell r="C1578" t="str">
            <v xml:space="preserve">INATIVAÇÃO                                        </v>
          </cell>
        </row>
        <row r="1579">
          <cell r="B1579">
            <v>999</v>
          </cell>
          <cell r="C1579" t="str">
            <v xml:space="preserve">INATIVAÇÃO                                        </v>
          </cell>
        </row>
        <row r="1580">
          <cell r="B1580">
            <v>999</v>
          </cell>
          <cell r="C1580" t="str">
            <v xml:space="preserve">INATIVAÇÃO                                        </v>
          </cell>
        </row>
        <row r="1581">
          <cell r="B1581">
            <v>999</v>
          </cell>
          <cell r="C1581" t="str">
            <v xml:space="preserve">INATIVAÇÃO                                        </v>
          </cell>
        </row>
        <row r="1582">
          <cell r="B1582">
            <v>999</v>
          </cell>
          <cell r="C1582" t="str">
            <v xml:space="preserve">INATIVAÇÃO                                        </v>
          </cell>
        </row>
        <row r="1583">
          <cell r="B1583">
            <v>999</v>
          </cell>
          <cell r="C1583" t="str">
            <v xml:space="preserve">INATIVAÇÃO                                        </v>
          </cell>
        </row>
        <row r="1584">
          <cell r="B1584">
            <v>999</v>
          </cell>
          <cell r="C1584" t="str">
            <v xml:space="preserve">INATIVAÇÃO                                        </v>
          </cell>
        </row>
        <row r="1585">
          <cell r="B1585">
            <v>999</v>
          </cell>
          <cell r="C1585" t="str">
            <v xml:space="preserve">INATIVAÇÃO                                        </v>
          </cell>
        </row>
        <row r="1586">
          <cell r="B1586">
            <v>999</v>
          </cell>
          <cell r="C1586" t="str">
            <v xml:space="preserve">INATIVAÇÃO                                        </v>
          </cell>
        </row>
        <row r="1587">
          <cell r="B1587">
            <v>999</v>
          </cell>
          <cell r="C1587" t="str">
            <v xml:space="preserve">INATIVAÇÃO                                        </v>
          </cell>
        </row>
        <row r="1588">
          <cell r="B1588">
            <v>999</v>
          </cell>
          <cell r="C1588" t="str">
            <v xml:space="preserve">INATIVAÇÃO                                        </v>
          </cell>
        </row>
        <row r="1589">
          <cell r="B1589">
            <v>999</v>
          </cell>
          <cell r="C1589" t="str">
            <v xml:space="preserve">INATIVAÇÃO                                        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869D-3069-4F47-A2F8-6F1547EE117C}">
  <sheetPr>
    <pageSetUpPr fitToPage="1"/>
  </sheetPr>
  <dimension ref="A1:U499"/>
  <sheetViews>
    <sheetView showGridLines="0" topLeftCell="D1" zoomScale="85" zoomScaleNormal="85" workbookViewId="0">
      <selection activeCell="M2" sqref="M2:M3"/>
    </sheetView>
  </sheetViews>
  <sheetFormatPr defaultColWidth="9.28515625" defaultRowHeight="15" x14ac:dyDescent="0.25"/>
  <cols>
    <col min="1" max="1" width="9.28515625" hidden="1" customWidth="1"/>
    <col min="2" max="2" width="10" style="4" customWidth="1"/>
    <col min="3" max="3" width="11.85546875" style="4" bestFit="1" customWidth="1"/>
    <col min="4" max="4" width="13.28515625" style="4" bestFit="1" customWidth="1"/>
    <col min="5" max="5" width="34.5703125" bestFit="1" customWidth="1"/>
    <col min="6" max="6" width="14.140625" style="4" bestFit="1" customWidth="1"/>
    <col min="7" max="7" width="12.5703125" style="4" bestFit="1" customWidth="1"/>
    <col min="8" max="8" width="13.42578125" style="4" bestFit="1" customWidth="1"/>
    <col min="9" max="9" width="18.140625" style="4" bestFit="1" customWidth="1"/>
    <col min="10" max="10" width="21.42578125" style="4" bestFit="1" customWidth="1"/>
    <col min="11" max="11" width="10.5703125" style="4" bestFit="1" customWidth="1"/>
    <col min="12" max="12" width="14.28515625" style="4" bestFit="1" customWidth="1"/>
    <col min="13" max="13" width="14.5703125" style="4" bestFit="1" customWidth="1"/>
    <col min="14" max="14" width="19.42578125" style="4" bestFit="1" customWidth="1"/>
    <col min="15" max="15" width="13.42578125" style="4" bestFit="1" customWidth="1"/>
    <col min="16" max="16" width="15.5703125" style="4" bestFit="1" customWidth="1"/>
    <col min="17" max="17" width="16.28515625" style="4" bestFit="1" customWidth="1"/>
    <col min="18" max="18" width="15.5703125" style="4" bestFit="1" customWidth="1"/>
    <col min="19" max="19" width="0" hidden="1" customWidth="1"/>
    <col min="20" max="20" width="11.28515625" hidden="1" customWidth="1"/>
    <col min="21" max="21" width="64.85546875" bestFit="1" customWidth="1"/>
  </cols>
  <sheetData>
    <row r="1" spans="1:21" ht="15.75" x14ac:dyDescent="0.25">
      <c r="B1" s="6" t="s">
        <v>78</v>
      </c>
      <c r="F1" s="28" t="s">
        <v>77</v>
      </c>
      <c r="G1" s="29"/>
      <c r="H1" s="30">
        <f>SUM(H2:H4)</f>
        <v>24967.61</v>
      </c>
      <c r="I1" s="52"/>
      <c r="J1" s="52"/>
      <c r="L1" s="46" t="s">
        <v>96</v>
      </c>
      <c r="M1" s="47" t="s">
        <v>97</v>
      </c>
      <c r="N1" s="50" t="s">
        <v>99</v>
      </c>
      <c r="O1" s="73" t="s">
        <v>53</v>
      </c>
      <c r="P1" s="74"/>
      <c r="Q1" s="73" t="s">
        <v>54</v>
      </c>
      <c r="R1" s="74"/>
    </row>
    <row r="2" spans="1:21" x14ac:dyDescent="0.25">
      <c r="F2" s="25" t="s">
        <v>76</v>
      </c>
      <c r="G2" s="26"/>
      <c r="H2" s="27">
        <f>SUMIFS(O:O,B:B,"INAD.",K:K,"&gt;=-30",K:K,"&lt;=0")</f>
        <v>14988.199999999997</v>
      </c>
      <c r="I2" s="53"/>
      <c r="J2" s="53"/>
      <c r="L2" s="75">
        <v>3.0100000000000001E-3</v>
      </c>
      <c r="M2" s="77">
        <f>IFERROR(H2/N2,"-")</f>
        <v>3.7714560348656233E-3</v>
      </c>
      <c r="N2" s="51">
        <v>3974115</v>
      </c>
      <c r="O2" s="10" t="s">
        <v>51</v>
      </c>
      <c r="P2" s="11" t="s">
        <v>107</v>
      </c>
      <c r="Q2" s="10" t="s">
        <v>55</v>
      </c>
      <c r="R2" s="11" t="s">
        <v>58</v>
      </c>
    </row>
    <row r="3" spans="1:21" x14ac:dyDescent="0.25">
      <c r="C3" s="7" t="s">
        <v>48</v>
      </c>
      <c r="D3" s="5" t="s">
        <v>59</v>
      </c>
      <c r="F3" s="25" t="s">
        <v>74</v>
      </c>
      <c r="G3" s="26"/>
      <c r="H3" s="27">
        <f>SUMIFS(O:O,B:B,"IREC.",K:K,"&gt;=-75",K:K,"&lt;=0")</f>
        <v>8586.94</v>
      </c>
      <c r="I3" s="53"/>
      <c r="J3" s="53"/>
      <c r="L3" s="76"/>
      <c r="M3" s="78"/>
      <c r="O3" s="10" t="s">
        <v>60</v>
      </c>
      <c r="P3" s="11" t="s">
        <v>108</v>
      </c>
      <c r="Q3" s="10" t="s">
        <v>56</v>
      </c>
      <c r="R3" s="11" t="s">
        <v>82</v>
      </c>
    </row>
    <row r="4" spans="1:21" x14ac:dyDescent="0.25">
      <c r="C4" s="7" t="s">
        <v>49</v>
      </c>
      <c r="D4" s="31">
        <v>46113</v>
      </c>
      <c r="F4" s="25" t="s">
        <v>75</v>
      </c>
      <c r="G4" s="26"/>
      <c r="H4" s="27">
        <f>SUMIFS(O:O, B:B, "PDD", K:K, "&lt;=-75")</f>
        <v>1392.47</v>
      </c>
      <c r="I4" s="53"/>
      <c r="J4" s="53"/>
      <c r="L4" s="48" t="s">
        <v>98</v>
      </c>
      <c r="M4" s="49">
        <f>IFERROR(H3/N2,"-")</f>
        <v>2.160717543402745E-3</v>
      </c>
      <c r="O4" s="12" t="s">
        <v>52</v>
      </c>
      <c r="P4" s="13" t="s">
        <v>81</v>
      </c>
      <c r="Q4" s="12" t="s">
        <v>57</v>
      </c>
      <c r="R4" s="13" t="s">
        <v>83</v>
      </c>
    </row>
    <row r="6" spans="1:21" x14ac:dyDescent="0.25"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T6" s="8"/>
      <c r="U6" s="8"/>
    </row>
    <row r="7" spans="1:21" s="2" customFormat="1" x14ac:dyDescent="0.25">
      <c r="A7" s="2" t="s">
        <v>50</v>
      </c>
      <c r="B7" s="14" t="s">
        <v>61</v>
      </c>
      <c r="C7" s="14" t="s">
        <v>62</v>
      </c>
      <c r="D7" s="14" t="s">
        <v>63</v>
      </c>
      <c r="E7" s="14" t="s">
        <v>64</v>
      </c>
      <c r="F7" s="14" t="s">
        <v>0</v>
      </c>
      <c r="G7" s="14" t="s">
        <v>65</v>
      </c>
      <c r="H7" s="14" t="s">
        <v>55</v>
      </c>
      <c r="I7" s="14" t="s">
        <v>101</v>
      </c>
      <c r="J7" s="14" t="s">
        <v>109</v>
      </c>
      <c r="K7" s="14" t="s">
        <v>66</v>
      </c>
      <c r="L7" s="14" t="s">
        <v>67</v>
      </c>
      <c r="M7" s="14" t="s">
        <v>68</v>
      </c>
      <c r="N7" s="14" t="s">
        <v>69</v>
      </c>
      <c r="O7" s="14" t="s">
        <v>70</v>
      </c>
      <c r="P7" s="14" t="s">
        <v>71</v>
      </c>
      <c r="Q7" s="14" t="s">
        <v>72</v>
      </c>
      <c r="R7" s="14" t="s">
        <v>73</v>
      </c>
      <c r="T7" s="14" t="s">
        <v>84</v>
      </c>
      <c r="U7" s="14" t="s">
        <v>85</v>
      </c>
    </row>
    <row r="8" spans="1:21" x14ac:dyDescent="0.25">
      <c r="A8">
        <f>'CAR PROMAX FILIAL CRUZ'!O2</f>
        <v>-95</v>
      </c>
      <c r="B8" s="15" t="str">
        <f t="shared" ref="B8:B39" si="0">IF(K8&lt;0,IF(K8&gt;-31,"INAD.",IF(K8&gt;-76,"IREC.","PDD"))," ")</f>
        <v>PDD</v>
      </c>
      <c r="C8" s="15" t="str">
        <f t="shared" ref="C8:C71" si="1">IF(K8&lt;0,IF(K8&gt;-16,"RN",IF(K8&gt;-46,"GV","GC"))," ")</f>
        <v>GC</v>
      </c>
      <c r="D8" s="15">
        <f>IF(A8&lt;0,'CAR PROMAX FILIAL CRUZ'!B2," ")</f>
        <v>576</v>
      </c>
      <c r="E8" s="16" t="str">
        <f>IF(A8&lt;0,'CAR PROMAX FILIAL CRUZ'!C2," ")</f>
        <v xml:space="preserve">ROCK VARIEDADES JUR                     </v>
      </c>
      <c r="F8" s="15">
        <f>IF(A8&lt;0,'CAR PROMAX FILIAL CRUZ'!D2," ")</f>
        <v>2</v>
      </c>
      <c r="G8" s="15">
        <f>IF(A8&lt;0,'CAR PROMAX FILIAL CRUZ'!E2," ")</f>
        <v>79246</v>
      </c>
      <c r="H8" s="15">
        <f>IF(A8&lt;0,'CAR PROMAX FILIAL CRUZ'!J2," ")</f>
        <v>101</v>
      </c>
      <c r="I8" s="15" t="str">
        <f>_xlfn.XLOOKUP(H8,'RN - SETORES'!A:A,'RN - SETORES'!B:B)</f>
        <v>Francisco Damilo</v>
      </c>
      <c r="J8" s="15" t="str">
        <f>_xlfn.XLOOKUP(C8,'GV - SETORES'!D:D,'GV - SETORES'!E:E,IF(K8&gt;=-45,_xlfn.XLOOKUP(H8,'GV - SETORES'!A:A,'GV - SETORES'!B:B)))</f>
        <v>Anderson</v>
      </c>
      <c r="K8" s="15">
        <f>IF(A8&lt;0,'CAR PROMAX FILIAL CRUZ'!O2," ")</f>
        <v>-95</v>
      </c>
      <c r="L8" s="17">
        <f>IF(A8&lt;0,'CAR PROMAX FILIAL CRUZ'!P2," ")</f>
        <v>46034</v>
      </c>
      <c r="M8" s="17">
        <f>IF(A8&lt;0,'CAR PROMAX FILIAL CRUZ'!Q2," ")</f>
        <v>46035</v>
      </c>
      <c r="N8" s="17">
        <f>IF(A8&lt;0,'CAR PROMAX FILIAL CRUZ'!R2," ")</f>
        <v>46041</v>
      </c>
      <c r="O8" s="18">
        <f>IF(A8&lt;0,'CAR PROMAX FILIAL CRUZ'!S2," ")</f>
        <v>459.85</v>
      </c>
      <c r="P8" s="18">
        <f>IF(A8&lt;0,'CAR PROMAX FILIAL CRUZ'!T2," ")</f>
        <v>459.85</v>
      </c>
      <c r="Q8" s="18">
        <f>IF(A8&lt;0,'CAR PROMAX FILIAL CRUZ'!U2," ")</f>
        <v>555.17999999999995</v>
      </c>
      <c r="R8" s="15">
        <f>IF(A8&lt;0,'CAR PROMAX FILIAL CRUZ'!V2," ")</f>
        <v>3612006755</v>
      </c>
      <c r="T8" s="17"/>
      <c r="U8" s="17"/>
    </row>
    <row r="9" spans="1:21" x14ac:dyDescent="0.25">
      <c r="A9">
        <f>'CAR PROMAX FILIAL CRUZ'!O3</f>
        <v>-93</v>
      </c>
      <c r="B9" s="15" t="str">
        <f t="shared" si="0"/>
        <v>PDD</v>
      </c>
      <c r="C9" s="15" t="str">
        <f t="shared" si="1"/>
        <v>GC</v>
      </c>
      <c r="D9" s="19">
        <f>IF(A9&lt;0,'CAR PROMAX FILIAL CRUZ'!B3," ")</f>
        <v>3730</v>
      </c>
      <c r="E9" s="20" t="str">
        <f>IF(A9&lt;0,'CAR PROMAX FILIAL CRUZ'!C3," ")</f>
        <v xml:space="preserve">GELADAO PREA                            </v>
      </c>
      <c r="F9" s="19">
        <f>IF(A9&lt;0,'CAR PROMAX FILIAL CRUZ'!D3," ")</f>
        <v>2</v>
      </c>
      <c r="G9" s="19">
        <f>IF(A9&lt;0,'CAR PROMAX FILIAL CRUZ'!E3," ")</f>
        <v>79463</v>
      </c>
      <c r="H9" s="19">
        <f>IF(A9&lt;0,'CAR PROMAX FILIAL CRUZ'!J3," ")</f>
        <v>514</v>
      </c>
      <c r="I9" s="15" t="str">
        <f>_xlfn.XLOOKUP(H9,'RN - SETORES'!A:A,'RN - SETORES'!B:B)</f>
        <v>Juan</v>
      </c>
      <c r="J9" s="15" t="str">
        <f>_xlfn.XLOOKUP(C9,'GV - SETORES'!D:D,'GV - SETORES'!E:E,IF(K9&gt;=-45,_xlfn.XLOOKUP(H9,'GV - SETORES'!A:A,'GV - SETORES'!B:B)))</f>
        <v>Anderson</v>
      </c>
      <c r="K9" s="19">
        <f>IF(A9&lt;0,'CAR PROMAX FILIAL CRUZ'!O3," ")</f>
        <v>-93</v>
      </c>
      <c r="L9" s="21">
        <f>IF(A9&lt;0,'CAR PROMAX FILIAL CRUZ'!P3," ")</f>
        <v>46035</v>
      </c>
      <c r="M9" s="21">
        <f>IF(A9&lt;0,'CAR PROMAX FILIAL CRUZ'!Q3," ")</f>
        <v>46036</v>
      </c>
      <c r="N9" s="21">
        <f>IF(A9&lt;0,'CAR PROMAX FILIAL CRUZ'!R3," ")</f>
        <v>46043</v>
      </c>
      <c r="O9" s="22">
        <f>IF(A9&lt;0,'CAR PROMAX FILIAL CRUZ'!S3," ")</f>
        <v>631.69000000000005</v>
      </c>
      <c r="P9" s="22">
        <f>IF(A9&lt;0,'CAR PROMAX FILIAL CRUZ'!T3," ")</f>
        <v>631.69000000000005</v>
      </c>
      <c r="Q9" s="22">
        <f>IF(A9&lt;0,'CAR PROMAX FILIAL CRUZ'!U3," ")</f>
        <v>760.55</v>
      </c>
      <c r="R9" s="19">
        <f>IF(A9&lt;0,'CAR PROMAX FILIAL CRUZ'!V3," ")</f>
        <v>3612006784</v>
      </c>
      <c r="T9" s="17"/>
      <c r="U9" s="17"/>
    </row>
    <row r="10" spans="1:21" x14ac:dyDescent="0.25">
      <c r="A10">
        <f>'CAR PROMAX FILIAL CRUZ'!O4</f>
        <v>-88</v>
      </c>
      <c r="B10" s="15" t="str">
        <f t="shared" si="0"/>
        <v>PDD</v>
      </c>
      <c r="C10" s="15" t="str">
        <f t="shared" si="1"/>
        <v>GC</v>
      </c>
      <c r="D10" s="19">
        <f>IF(A10&lt;0,'CAR PROMAX FILIAL CRUZ'!B4," ")</f>
        <v>576</v>
      </c>
      <c r="E10" s="20" t="str">
        <f>IF(A10&lt;0,'CAR PROMAX FILIAL CRUZ'!C4," ")</f>
        <v xml:space="preserve">ROCK VARIEDADES JUR                     </v>
      </c>
      <c r="F10" s="19">
        <f>IF(A10&lt;0,'CAR PROMAX FILIAL CRUZ'!D4," ")</f>
        <v>2</v>
      </c>
      <c r="G10" s="19">
        <f>IF(A10&lt;0,'CAR PROMAX FILIAL CRUZ'!E4," ")</f>
        <v>80550</v>
      </c>
      <c r="H10" s="19">
        <f>IF(A10&lt;0,'CAR PROMAX FILIAL CRUZ'!J4," ")</f>
        <v>101</v>
      </c>
      <c r="I10" s="15" t="str">
        <f>_xlfn.XLOOKUP(H10,'RN - SETORES'!A:A,'RN - SETORES'!B:B)</f>
        <v>Francisco Damilo</v>
      </c>
      <c r="J10" s="15" t="str">
        <f>_xlfn.XLOOKUP(C10,'GV - SETORES'!D:D,'GV - SETORES'!E:E,IF(K10&gt;=-45,_xlfn.XLOOKUP(H10,'GV - SETORES'!A:A,'GV - SETORES'!B:B)))</f>
        <v>Anderson</v>
      </c>
      <c r="K10" s="19">
        <f>IF(A10&lt;0,'CAR PROMAX FILIAL CRUZ'!O4," ")</f>
        <v>-88</v>
      </c>
      <c r="L10" s="21">
        <f>IF(A10&lt;0,'CAR PROMAX FILIAL CRUZ'!P4," ")</f>
        <v>46041</v>
      </c>
      <c r="M10" s="21">
        <f>IF(A10&lt;0,'CAR PROMAX FILIAL CRUZ'!Q4," ")</f>
        <v>46042</v>
      </c>
      <c r="N10" s="21">
        <f>IF(A10&lt;0,'CAR PROMAX FILIAL CRUZ'!R4," ")</f>
        <v>46048</v>
      </c>
      <c r="O10" s="22">
        <f>IF(A10&lt;0,'CAR PROMAX FILIAL CRUZ'!S4," ")</f>
        <v>300.93</v>
      </c>
      <c r="P10" s="22">
        <f>IF(A10&lt;0,'CAR PROMAX FILIAL CRUZ'!T4," ")</f>
        <v>300.93</v>
      </c>
      <c r="Q10" s="22">
        <f>IF(A10&lt;0,'CAR PROMAX FILIAL CRUZ'!U4," ")</f>
        <v>359.8</v>
      </c>
      <c r="R10" s="19">
        <f>IF(A10&lt;0,'CAR PROMAX FILIAL CRUZ'!V4," ")</f>
        <v>3612006964</v>
      </c>
      <c r="T10" s="21"/>
      <c r="U10" s="17"/>
    </row>
    <row r="11" spans="1:21" x14ac:dyDescent="0.25">
      <c r="A11">
        <f>'CAR PROMAX FILIAL CRUZ'!O5</f>
        <v>-74</v>
      </c>
      <c r="B11" s="15" t="str">
        <f t="shared" si="0"/>
        <v>IREC.</v>
      </c>
      <c r="C11" s="15" t="str">
        <f t="shared" si="1"/>
        <v>GC</v>
      </c>
      <c r="D11" s="19">
        <f>IF(A11&lt;0,'CAR PROMAX FILIAL CRUZ'!B5," ")</f>
        <v>253</v>
      </c>
      <c r="E11" s="20" t="str">
        <f>IF(A11&lt;0,'CAR PROMAX FILIAL CRUZ'!C5," ")</f>
        <v xml:space="preserve">PESQUE E PAGUE SAO J                    </v>
      </c>
      <c r="F11" s="19">
        <f>IF(A11&lt;0,'CAR PROMAX FILIAL CRUZ'!D5," ")</f>
        <v>2</v>
      </c>
      <c r="G11" s="19">
        <f>IF(A11&lt;0,'CAR PROMAX FILIAL CRUZ'!E5," ")</f>
        <v>83008</v>
      </c>
      <c r="H11" s="19">
        <f>IF(A11&lt;0,'CAR PROMAX FILIAL CRUZ'!J5," ")</f>
        <v>513</v>
      </c>
      <c r="I11" s="15" t="str">
        <f>_xlfn.XLOOKUP(H11,'RN - SETORES'!A:A,'RN - SETORES'!B:B)</f>
        <v>Jefferson</v>
      </c>
      <c r="J11" s="15" t="str">
        <f>_xlfn.XLOOKUP(C11,'GV - SETORES'!D:D,'GV - SETORES'!E:E,IF(K11&gt;=-45,_xlfn.XLOOKUP(H11,'GV - SETORES'!A:A,'GV - SETORES'!B:B)))</f>
        <v>Anderson</v>
      </c>
      <c r="K11" s="19">
        <f>IF(A11&lt;0,'CAR PROMAX FILIAL CRUZ'!O5," ")</f>
        <v>-74</v>
      </c>
      <c r="L11" s="21">
        <f>IF(A11&lt;0,'CAR PROMAX FILIAL CRUZ'!P5," ")</f>
        <v>46052</v>
      </c>
      <c r="M11" s="21">
        <f>IF(A11&lt;0,'CAR PROMAX FILIAL CRUZ'!Q5," ")</f>
        <v>46053</v>
      </c>
      <c r="N11" s="21">
        <f>IF(A11&lt;0,'CAR PROMAX FILIAL CRUZ'!R5," ")</f>
        <v>46062</v>
      </c>
      <c r="O11" s="22">
        <f>IF(A11&lt;0,'CAR PROMAX FILIAL CRUZ'!S5," ")</f>
        <v>143.31</v>
      </c>
      <c r="P11" s="22">
        <f>IF(A11&lt;0,'CAR PROMAX FILIAL CRUZ'!T5," ")</f>
        <v>143.31</v>
      </c>
      <c r="Q11" s="22">
        <f>IF(A11&lt;0,'CAR PROMAX FILIAL CRUZ'!U5," ")</f>
        <v>168</v>
      </c>
      <c r="R11" s="19">
        <f>IF(A11&lt;0,'CAR PROMAX FILIAL CRUZ'!V5," ")</f>
        <v>3612007292</v>
      </c>
      <c r="T11" s="21"/>
      <c r="U11" s="17"/>
    </row>
    <row r="12" spans="1:21" x14ac:dyDescent="0.25">
      <c r="A12">
        <f>'CAR PROMAX FILIAL CRUZ'!O6</f>
        <v>-74</v>
      </c>
      <c r="B12" s="15" t="str">
        <f t="shared" si="0"/>
        <v>IREC.</v>
      </c>
      <c r="C12" s="15" t="str">
        <f t="shared" si="1"/>
        <v>GC</v>
      </c>
      <c r="D12" s="19">
        <f>IF(A12&lt;0,'CAR PROMAX FILIAL CRUZ'!B6," ")</f>
        <v>253</v>
      </c>
      <c r="E12" s="20" t="str">
        <f>IF(A12&lt;0,'CAR PROMAX FILIAL CRUZ'!C6," ")</f>
        <v xml:space="preserve">PESQUE E PAGUE SAO J                    </v>
      </c>
      <c r="F12" s="19">
        <f>IF(A12&lt;0,'CAR PROMAX FILIAL CRUZ'!D6," ")</f>
        <v>2</v>
      </c>
      <c r="G12" s="19">
        <f>IF(A12&lt;0,'CAR PROMAX FILIAL CRUZ'!E6," ")</f>
        <v>83009</v>
      </c>
      <c r="H12" s="19">
        <f>IF(A12&lt;0,'CAR PROMAX FILIAL CRUZ'!J6," ")</f>
        <v>513</v>
      </c>
      <c r="I12" s="15" t="str">
        <f>_xlfn.XLOOKUP(H12,'RN - SETORES'!A:A,'RN - SETORES'!B:B)</f>
        <v>Jefferson</v>
      </c>
      <c r="J12" s="15" t="str">
        <f>_xlfn.XLOOKUP(C12,'GV - SETORES'!D:D,'GV - SETORES'!E:E,IF(K12&gt;=-45,_xlfn.XLOOKUP(H12,'GV - SETORES'!A:A,'GV - SETORES'!B:B)))</f>
        <v>Anderson</v>
      </c>
      <c r="K12" s="19">
        <f>IF(A12&lt;0,'CAR PROMAX FILIAL CRUZ'!O6," ")</f>
        <v>-74</v>
      </c>
      <c r="L12" s="21">
        <f>IF(A12&lt;0,'CAR PROMAX FILIAL CRUZ'!P6," ")</f>
        <v>46052</v>
      </c>
      <c r="M12" s="21">
        <f>IF(A12&lt;0,'CAR PROMAX FILIAL CRUZ'!Q6," ")</f>
        <v>46053</v>
      </c>
      <c r="N12" s="21">
        <f>IF(A12&lt;0,'CAR PROMAX FILIAL CRUZ'!R6," ")</f>
        <v>46062</v>
      </c>
      <c r="O12" s="22">
        <f>IF(A12&lt;0,'CAR PROMAX FILIAL CRUZ'!S6," ")</f>
        <v>883.83</v>
      </c>
      <c r="P12" s="22">
        <f>IF(A12&lt;0,'CAR PROMAX FILIAL CRUZ'!T6," ")</f>
        <v>883.83</v>
      </c>
      <c r="Q12" s="22">
        <f>IF(A12&lt;0,'CAR PROMAX FILIAL CRUZ'!U6," ")</f>
        <v>1036.1300000000001</v>
      </c>
      <c r="R12" s="19">
        <f>IF(A12&lt;0,'CAR PROMAX FILIAL CRUZ'!V6," ")</f>
        <v>3612007293</v>
      </c>
      <c r="T12" s="21"/>
      <c r="U12" s="17"/>
    </row>
    <row r="13" spans="1:21" x14ac:dyDescent="0.25">
      <c r="A13">
        <f>'CAR PROMAX FILIAL CRUZ'!O7</f>
        <v>-67</v>
      </c>
      <c r="B13" s="15" t="str">
        <f t="shared" si="0"/>
        <v>IREC.</v>
      </c>
      <c r="C13" s="15" t="str">
        <f t="shared" si="1"/>
        <v>GC</v>
      </c>
      <c r="D13" s="19">
        <f>IF(A13&lt;0,'CAR PROMAX FILIAL CRUZ'!B7," ")</f>
        <v>253</v>
      </c>
      <c r="E13" s="20" t="str">
        <f>IF(A13&lt;0,'CAR PROMAX FILIAL CRUZ'!C7," ")</f>
        <v xml:space="preserve">PESQUE E PAGUE SAO J                    </v>
      </c>
      <c r="F13" s="19">
        <f>IF(A13&lt;0,'CAR PROMAX FILIAL CRUZ'!D7," ")</f>
        <v>2</v>
      </c>
      <c r="G13" s="19">
        <f>IF(A13&lt;0,'CAR PROMAX FILIAL CRUZ'!E7," ")</f>
        <v>84202</v>
      </c>
      <c r="H13" s="19">
        <f>IF(A13&lt;0,'CAR PROMAX FILIAL CRUZ'!J7," ")</f>
        <v>513</v>
      </c>
      <c r="I13" s="15" t="str">
        <f>_xlfn.XLOOKUP(H13,'RN - SETORES'!A:A,'RN - SETORES'!B:B)</f>
        <v>Jefferson</v>
      </c>
      <c r="J13" s="15" t="str">
        <f>_xlfn.XLOOKUP(C13,'GV - SETORES'!D:D,'GV - SETORES'!E:E,IF(K13&gt;=-45,_xlfn.XLOOKUP(H13,'GV - SETORES'!A:A,'GV - SETORES'!B:B)))</f>
        <v>Anderson</v>
      </c>
      <c r="K13" s="19">
        <f>IF(A13&lt;0,'CAR PROMAX FILIAL CRUZ'!O7," ")</f>
        <v>-67</v>
      </c>
      <c r="L13" s="21">
        <f>IF(A13&lt;0,'CAR PROMAX FILIAL CRUZ'!P7," ")</f>
        <v>46059</v>
      </c>
      <c r="M13" s="21">
        <f>IF(A13&lt;0,'CAR PROMAX FILIAL CRUZ'!Q7," ")</f>
        <v>46060</v>
      </c>
      <c r="N13" s="21">
        <f>IF(A13&lt;0,'CAR PROMAX FILIAL CRUZ'!R7," ")</f>
        <v>46069</v>
      </c>
      <c r="O13" s="22">
        <f>IF(A13&lt;0,'CAR PROMAX FILIAL CRUZ'!S7," ")</f>
        <v>827.03</v>
      </c>
      <c r="P13" s="22">
        <f>IF(A13&lt;0,'CAR PROMAX FILIAL CRUZ'!T7," ")</f>
        <v>827.03</v>
      </c>
      <c r="Q13" s="22">
        <f>IF(A13&lt;0,'CAR PROMAX FILIAL CRUZ'!U7," ")</f>
        <v>959.9</v>
      </c>
      <c r="R13" s="19">
        <f>IF(A13&lt;0,'CAR PROMAX FILIAL CRUZ'!V7," ")</f>
        <v>3612007481</v>
      </c>
      <c r="T13" s="21"/>
      <c r="U13" s="17"/>
    </row>
    <row r="14" spans="1:21" x14ac:dyDescent="0.25">
      <c r="A14">
        <f>'CAR PROMAX FILIAL CRUZ'!O8</f>
        <v>-65</v>
      </c>
      <c r="B14" s="15" t="str">
        <f t="shared" si="0"/>
        <v>IREC.</v>
      </c>
      <c r="C14" s="15" t="str">
        <f t="shared" si="1"/>
        <v>GC</v>
      </c>
      <c r="D14" s="19">
        <f>IF(A14&lt;0,'CAR PROMAX FILIAL CRUZ'!B8," ")</f>
        <v>3898</v>
      </c>
      <c r="E14" s="20" t="str">
        <f>IF(A14&lt;0,'CAR PROMAX FILIAL CRUZ'!C8," ")</f>
        <v xml:space="preserve">ROTA DO SABOR                           </v>
      </c>
      <c r="F14" s="19">
        <f>IF(A14&lt;0,'CAR PROMAX FILIAL CRUZ'!D8," ")</f>
        <v>2</v>
      </c>
      <c r="G14" s="19">
        <f>IF(A14&lt;0,'CAR PROMAX FILIAL CRUZ'!E8," ")</f>
        <v>85694</v>
      </c>
      <c r="H14" s="19">
        <f>IF(A14&lt;0,'CAR PROMAX FILIAL CRUZ'!J8," ")</f>
        <v>104</v>
      </c>
      <c r="I14" s="15" t="str">
        <f>_xlfn.XLOOKUP(H14,'RN - SETORES'!A:A,'RN - SETORES'!B:B)</f>
        <v>Neto</v>
      </c>
      <c r="J14" s="15" t="str">
        <f>_xlfn.XLOOKUP(C14,'GV - SETORES'!D:D,'GV - SETORES'!E:E,IF(K14&gt;=-45,_xlfn.XLOOKUP(H14,'GV - SETORES'!A:A,'GV - SETORES'!B:B)))</f>
        <v>Anderson</v>
      </c>
      <c r="K14" s="19">
        <f>IF(A14&lt;0,'CAR PROMAX FILIAL CRUZ'!O8," ")</f>
        <v>-65</v>
      </c>
      <c r="L14" s="21">
        <f>IF(A14&lt;0,'CAR PROMAX FILIAL CRUZ'!P8," ")</f>
        <v>46066</v>
      </c>
      <c r="M14" s="21">
        <f>IF(A14&lt;0,'CAR PROMAX FILIAL CRUZ'!Q8," ")</f>
        <v>46067</v>
      </c>
      <c r="N14" s="21">
        <f>IF(A14&lt;0,'CAR PROMAX FILIAL CRUZ'!R8," ")</f>
        <v>46071</v>
      </c>
      <c r="O14" s="22">
        <f>IF(A14&lt;0,'CAR PROMAX FILIAL CRUZ'!S8," ")</f>
        <v>213.61</v>
      </c>
      <c r="P14" s="22">
        <f>IF(A14&lt;0,'CAR PROMAX FILIAL CRUZ'!T8," ")</f>
        <v>213.61</v>
      </c>
      <c r="Q14" s="22">
        <f>IF(A14&lt;0,'CAR PROMAX FILIAL CRUZ'!U8," ")</f>
        <v>247.21</v>
      </c>
      <c r="R14" s="19">
        <f>IF(A14&lt;0,'CAR PROMAX FILIAL CRUZ'!V8," ")</f>
        <v>3612007713</v>
      </c>
      <c r="T14" s="21"/>
      <c r="U14" s="17"/>
    </row>
    <row r="15" spans="1:21" x14ac:dyDescent="0.25">
      <c r="A15">
        <f>'CAR PROMAX FILIAL CRUZ'!O9</f>
        <v>-56</v>
      </c>
      <c r="B15" s="15" t="str">
        <f t="shared" si="0"/>
        <v>IREC.</v>
      </c>
      <c r="C15" s="15" t="str">
        <f t="shared" si="1"/>
        <v>GC</v>
      </c>
      <c r="D15" s="19">
        <f>IF(A15&lt;0,'CAR PROMAX FILIAL CRUZ'!B9," ")</f>
        <v>3581</v>
      </c>
      <c r="E15" s="38" t="str">
        <f>IF(A15&lt;0,'CAR PROMAX FILIAL CRUZ'!C9," ")</f>
        <v xml:space="preserve">ADEGA BAR                               </v>
      </c>
      <c r="F15" s="19">
        <f>IF(A15&lt;0,'CAR PROMAX FILIAL CRUZ'!D9," ")</f>
        <v>2</v>
      </c>
      <c r="G15" s="19">
        <f>IF(A15&lt;0,'CAR PROMAX FILIAL CRUZ'!E9," ")</f>
        <v>86353</v>
      </c>
      <c r="H15" s="19">
        <f>IF(A15&lt;0,'CAR PROMAX FILIAL CRUZ'!J9," ")</f>
        <v>102</v>
      </c>
      <c r="I15" s="15" t="str">
        <f>_xlfn.XLOOKUP(H15,'RN - SETORES'!A:A,'RN - SETORES'!B:B)</f>
        <v>Francisco</v>
      </c>
      <c r="J15" s="15" t="str">
        <f>_xlfn.XLOOKUP(C15,'GV - SETORES'!D:D,'GV - SETORES'!E:E,IF(K15&gt;=-45,_xlfn.XLOOKUP(H15,'GV - SETORES'!A:A,'GV - SETORES'!B:B)))</f>
        <v>Anderson</v>
      </c>
      <c r="K15" s="19">
        <f>IF(A15&lt;0,'CAR PROMAX FILIAL CRUZ'!O9," ")</f>
        <v>-56</v>
      </c>
      <c r="L15" s="21">
        <f>IF(A15&lt;0,'CAR PROMAX FILIAL CRUZ'!P9," ")</f>
        <v>46072</v>
      </c>
      <c r="M15" s="21">
        <f>IF(A15&lt;0,'CAR PROMAX FILIAL CRUZ'!Q9," ")</f>
        <v>46073</v>
      </c>
      <c r="N15" s="21">
        <f>IF(A15&lt;0,'CAR PROMAX FILIAL CRUZ'!R9," ")</f>
        <v>46080</v>
      </c>
      <c r="O15" s="22">
        <f>IF(A15&lt;0,'CAR PROMAX FILIAL CRUZ'!S9," ")</f>
        <v>392.88</v>
      </c>
      <c r="P15" s="22">
        <f>IF(A15&lt;0,'CAR PROMAX FILIAL CRUZ'!T9," ")</f>
        <v>392.88</v>
      </c>
      <c r="Q15" s="22">
        <f>IF(A15&lt;0,'CAR PROMAX FILIAL CRUZ'!U9," ")</f>
        <v>448.79</v>
      </c>
      <c r="R15" s="19">
        <f>IF(A15&lt;0,'CAR PROMAX FILIAL CRUZ'!V9," ")</f>
        <v>3612007801</v>
      </c>
      <c r="T15" s="21"/>
      <c r="U15" s="17"/>
    </row>
    <row r="16" spans="1:21" x14ac:dyDescent="0.25">
      <c r="A16">
        <f>'CAR PROMAX FILIAL CRUZ'!O10</f>
        <v>-56</v>
      </c>
      <c r="B16" s="15" t="str">
        <f t="shared" si="0"/>
        <v>IREC.</v>
      </c>
      <c r="C16" s="15" t="str">
        <f t="shared" si="1"/>
        <v>GC</v>
      </c>
      <c r="D16" s="19">
        <f>IF(A16&lt;0,'CAR PROMAX FILIAL CRUZ'!B10," ")</f>
        <v>3581</v>
      </c>
      <c r="E16" s="20" t="str">
        <f>IF(A16&lt;0,'CAR PROMAX FILIAL CRUZ'!C10," ")</f>
        <v xml:space="preserve">ADEGA BAR                               </v>
      </c>
      <c r="F16" s="19">
        <f>IF(A16&lt;0,'CAR PROMAX FILIAL CRUZ'!D10," ")</f>
        <v>2</v>
      </c>
      <c r="G16" s="19">
        <f>IF(A16&lt;0,'CAR PROMAX FILIAL CRUZ'!E10," ")</f>
        <v>86354</v>
      </c>
      <c r="H16" s="19">
        <f>IF(A16&lt;0,'CAR PROMAX FILIAL CRUZ'!J10," ")</f>
        <v>102</v>
      </c>
      <c r="I16" s="15" t="str">
        <f>_xlfn.XLOOKUP(H16,'RN - SETORES'!A:A,'RN - SETORES'!B:B)</f>
        <v>Francisco</v>
      </c>
      <c r="J16" s="15" t="str">
        <f>_xlfn.XLOOKUP(C16,'GV - SETORES'!D:D,'GV - SETORES'!E:E,IF(K16&gt;=-45,_xlfn.XLOOKUP(H16,'GV - SETORES'!A:A,'GV - SETORES'!B:B)))</f>
        <v>Anderson</v>
      </c>
      <c r="K16" s="19">
        <f>IF(A16&lt;0,'CAR PROMAX FILIAL CRUZ'!O10," ")</f>
        <v>-56</v>
      </c>
      <c r="L16" s="21">
        <f>IF(A16&lt;0,'CAR PROMAX FILIAL CRUZ'!P10," ")</f>
        <v>46072</v>
      </c>
      <c r="M16" s="21">
        <f>IF(A16&lt;0,'CAR PROMAX FILIAL CRUZ'!Q10," ")</f>
        <v>46073</v>
      </c>
      <c r="N16" s="21">
        <f>IF(A16&lt;0,'CAR PROMAX FILIAL CRUZ'!R10," ")</f>
        <v>46080</v>
      </c>
      <c r="O16" s="22">
        <f>IF(A16&lt;0,'CAR PROMAX FILIAL CRUZ'!S10," ")</f>
        <v>509.94</v>
      </c>
      <c r="P16" s="22">
        <f>IF(A16&lt;0,'CAR PROMAX FILIAL CRUZ'!T10," ")</f>
        <v>509.94</v>
      </c>
      <c r="Q16" s="22">
        <f>IF(A16&lt;0,'CAR PROMAX FILIAL CRUZ'!U10," ")</f>
        <v>582.51</v>
      </c>
      <c r="R16" s="19">
        <f>IF(A16&lt;0,'CAR PROMAX FILIAL CRUZ'!V10," ")</f>
        <v>3612007802</v>
      </c>
      <c r="T16" s="21"/>
      <c r="U16" s="17"/>
    </row>
    <row r="17" spans="1:21" x14ac:dyDescent="0.25">
      <c r="A17">
        <f>'CAR PROMAX FILIAL CRUZ'!O11</f>
        <v>-52</v>
      </c>
      <c r="B17" s="15" t="str">
        <f t="shared" si="0"/>
        <v>IREC.</v>
      </c>
      <c r="C17" s="15" t="str">
        <f t="shared" si="1"/>
        <v>GC</v>
      </c>
      <c r="D17" s="19">
        <f>IF(A17&lt;0,'CAR PROMAX FILIAL CRUZ'!B11," ")</f>
        <v>2977</v>
      </c>
      <c r="E17" s="20" t="str">
        <f>IF(A17&lt;0,'CAR PROMAX FILIAL CRUZ'!C11," ")</f>
        <v xml:space="preserve">TRE CRAZY                               </v>
      </c>
      <c r="F17" s="19">
        <f>IF(A17&lt;0,'CAR PROMAX FILIAL CRUZ'!D11," ")</f>
        <v>2</v>
      </c>
      <c r="G17" s="19">
        <f>IF(A17&lt;0,'CAR PROMAX FILIAL CRUZ'!E11," ")</f>
        <v>86678</v>
      </c>
      <c r="H17" s="19">
        <f>IF(A17&lt;0,'CAR PROMAX FILIAL CRUZ'!J11," ")</f>
        <v>515</v>
      </c>
      <c r="I17" s="15" t="str">
        <f>_xlfn.XLOOKUP(H17,'RN - SETORES'!A:A,'RN - SETORES'!B:B)</f>
        <v>Jose</v>
      </c>
      <c r="J17" s="15" t="str">
        <f>_xlfn.XLOOKUP(C17,'GV - SETORES'!D:D,'GV - SETORES'!E:E,IF(K17&gt;=-45,_xlfn.XLOOKUP(H17,'GV - SETORES'!A:A,'GV - SETORES'!B:B)))</f>
        <v>Anderson</v>
      </c>
      <c r="K17" s="19">
        <f>IF(A17&lt;0,'CAR PROMAX FILIAL CRUZ'!O11," ")</f>
        <v>-52</v>
      </c>
      <c r="L17" s="21">
        <f>IF(A17&lt;0,'CAR PROMAX FILIAL CRUZ'!P11," ")</f>
        <v>46076</v>
      </c>
      <c r="M17" s="21">
        <f>IF(A17&lt;0,'CAR PROMAX FILIAL CRUZ'!Q11," ")</f>
        <v>46077</v>
      </c>
      <c r="N17" s="21">
        <f>IF(A17&lt;0,'CAR PROMAX FILIAL CRUZ'!R11," ")</f>
        <v>46084</v>
      </c>
      <c r="O17" s="22">
        <f>IF(A17&lt;0,'CAR PROMAX FILIAL CRUZ'!S11," ")</f>
        <v>900.3</v>
      </c>
      <c r="P17" s="22">
        <f>IF(A17&lt;0,'CAR PROMAX FILIAL CRUZ'!T11," ")</f>
        <v>900.3</v>
      </c>
      <c r="Q17" s="22">
        <f>IF(A17&lt;0,'CAR PROMAX FILIAL CRUZ'!U11," ")</f>
        <v>1022.43</v>
      </c>
      <c r="R17" s="19">
        <f>IF(A17&lt;0,'CAR PROMAX FILIAL CRUZ'!V11," ")</f>
        <v>3612007844</v>
      </c>
      <c r="T17" s="21"/>
      <c r="U17" s="17"/>
    </row>
    <row r="18" spans="1:21" x14ac:dyDescent="0.25">
      <c r="A18">
        <f>'CAR PROMAX FILIAL CRUZ'!O12</f>
        <v>-44</v>
      </c>
      <c r="B18" s="15" t="str">
        <f t="shared" si="0"/>
        <v>IREC.</v>
      </c>
      <c r="C18" s="15" t="str">
        <f t="shared" si="1"/>
        <v>GV</v>
      </c>
      <c r="D18" s="19">
        <f>IF(A18&lt;0,'CAR PROMAX FILIAL CRUZ'!B12," ")</f>
        <v>3322</v>
      </c>
      <c r="E18" s="20" t="str">
        <f>IF(A18&lt;0,'CAR PROMAX FILIAL CRUZ'!C12," ")</f>
        <v xml:space="preserve">PIZZARIA O ZEZINHO                      </v>
      </c>
      <c r="F18" s="19">
        <f>IF(A18&lt;0,'CAR PROMAX FILIAL CRUZ'!D12," ")</f>
        <v>2</v>
      </c>
      <c r="G18" s="19">
        <f>IF(A18&lt;0,'CAR PROMAX FILIAL CRUZ'!E12," ")</f>
        <v>88274</v>
      </c>
      <c r="H18" s="19">
        <f>IF(A18&lt;0,'CAR PROMAX FILIAL CRUZ'!J12," ")</f>
        <v>101</v>
      </c>
      <c r="I18" s="15" t="str">
        <f>_xlfn.XLOOKUP(H18,'RN - SETORES'!A:A,'RN - SETORES'!B:B)</f>
        <v>Francisco Damilo</v>
      </c>
      <c r="J18" s="15" t="str">
        <f>_xlfn.XLOOKUP(C18,'GV - SETORES'!D:D,'GV - SETORES'!E:E,IF(K18&gt;=-45,_xlfn.XLOOKUP(H18,'GV - SETORES'!A:A,'GV - SETORES'!B:B)))</f>
        <v>Fredson</v>
      </c>
      <c r="K18" s="19">
        <f>IF(A18&lt;0,'CAR PROMAX FILIAL CRUZ'!O12," ")</f>
        <v>-44</v>
      </c>
      <c r="L18" s="21">
        <f>IF(A18&lt;0,'CAR PROMAX FILIAL CRUZ'!P12," ")</f>
        <v>46084</v>
      </c>
      <c r="M18" s="21">
        <f>IF(A18&lt;0,'CAR PROMAX FILIAL CRUZ'!Q12," ")</f>
        <v>46085</v>
      </c>
      <c r="N18" s="21">
        <f>IF(A18&lt;0,'CAR PROMAX FILIAL CRUZ'!R12," ")</f>
        <v>46092</v>
      </c>
      <c r="O18" s="22">
        <f>IF(A18&lt;0,'CAR PROMAX FILIAL CRUZ'!S12," ")</f>
        <v>304.13</v>
      </c>
      <c r="P18" s="22">
        <f>IF(A18&lt;0,'CAR PROMAX FILIAL CRUZ'!T12," ")</f>
        <v>304.13</v>
      </c>
      <c r="Q18" s="22">
        <f>IF(A18&lt;0,'CAR PROMAX FILIAL CRUZ'!U12," ")</f>
        <v>341.33</v>
      </c>
      <c r="R18" s="19">
        <f>IF(A18&lt;0,'CAR PROMAX FILIAL CRUZ'!V12," ")</f>
        <v>3612008105</v>
      </c>
      <c r="T18" s="21"/>
      <c r="U18" s="17"/>
    </row>
    <row r="19" spans="1:21" x14ac:dyDescent="0.25">
      <c r="A19">
        <f>'CAR PROMAX FILIAL CRUZ'!O13</f>
        <v>-35</v>
      </c>
      <c r="B19" s="15" t="str">
        <f t="shared" si="0"/>
        <v>IREC.</v>
      </c>
      <c r="C19" s="15" t="str">
        <f t="shared" si="1"/>
        <v>GV</v>
      </c>
      <c r="D19" s="19">
        <f>IF(A19&lt;0,'CAR PROMAX FILIAL CRUZ'!B13," ")</f>
        <v>3055</v>
      </c>
      <c r="E19" s="20" t="str">
        <f>IF(A19&lt;0,'CAR PROMAX FILIAL CRUZ'!C13," ")</f>
        <v xml:space="preserve">Buteco dos amigos                       </v>
      </c>
      <c r="F19" s="19">
        <f>IF(A19&lt;0,'CAR PROMAX FILIAL CRUZ'!D13," ")</f>
        <v>2</v>
      </c>
      <c r="G19" s="19">
        <f>IF(A19&lt;0,'CAR PROMAX FILIAL CRUZ'!E13," ")</f>
        <v>89621</v>
      </c>
      <c r="H19" s="19">
        <f>IF(A19&lt;0,'CAR PROMAX FILIAL CRUZ'!J13," ")</f>
        <v>514</v>
      </c>
      <c r="I19" s="15" t="str">
        <f>_xlfn.XLOOKUP(H19,'RN - SETORES'!A:A,'RN - SETORES'!B:B)</f>
        <v>Juan</v>
      </c>
      <c r="J19" s="15" t="str">
        <f>_xlfn.XLOOKUP(C19,'GV - SETORES'!D:D,'GV - SETORES'!E:E,IF(K19&gt;=-45,_xlfn.XLOOKUP(H19,'GV - SETORES'!A:A,'GV - SETORES'!B:B)))</f>
        <v>Jaissa</v>
      </c>
      <c r="K19" s="19">
        <f>IF(A19&lt;0,'CAR PROMAX FILIAL CRUZ'!O13," ")</f>
        <v>-35</v>
      </c>
      <c r="L19" s="21">
        <f>IF(A19&lt;0,'CAR PROMAX FILIAL CRUZ'!P13," ")</f>
        <v>46093</v>
      </c>
      <c r="M19" s="21">
        <f>IF(A19&lt;0,'CAR PROMAX FILIAL CRUZ'!Q13," ")</f>
        <v>46094</v>
      </c>
      <c r="N19" s="21">
        <f>IF(A19&lt;0,'CAR PROMAX FILIAL CRUZ'!R13," ")</f>
        <v>46101</v>
      </c>
      <c r="O19" s="22">
        <f>IF(A19&lt;0,'CAR PROMAX FILIAL CRUZ'!S13," ")</f>
        <v>622.85</v>
      </c>
      <c r="P19" s="22">
        <f>IF(A19&lt;0,'CAR PROMAX FILIAL CRUZ'!T13," ")</f>
        <v>622.85</v>
      </c>
      <c r="Q19" s="22">
        <f>IF(A19&lt;0,'CAR PROMAX FILIAL CRUZ'!U13," ")</f>
        <v>689.69</v>
      </c>
      <c r="R19" s="19">
        <f>IF(A19&lt;0,'CAR PROMAX FILIAL CRUZ'!V13," ")</f>
        <v>3612008353</v>
      </c>
      <c r="T19" s="21"/>
      <c r="U19" s="17"/>
    </row>
    <row r="20" spans="1:21" x14ac:dyDescent="0.25">
      <c r="A20">
        <f>'CAR PROMAX FILIAL CRUZ'!O14</f>
        <v>-35</v>
      </c>
      <c r="B20" s="15" t="str">
        <f t="shared" si="0"/>
        <v>IREC.</v>
      </c>
      <c r="C20" s="15" t="str">
        <f t="shared" si="1"/>
        <v>GV</v>
      </c>
      <c r="D20" s="19">
        <f>IF(A20&lt;0,'CAR PROMAX FILIAL CRUZ'!B14," ")</f>
        <v>3793</v>
      </c>
      <c r="E20" s="20" t="str">
        <f>IF(A20&lt;0,'CAR PROMAX FILIAL CRUZ'!C14," ")</f>
        <v xml:space="preserve">ORIGEM BAR                              </v>
      </c>
      <c r="F20" s="19">
        <f>IF(A20&lt;0,'CAR PROMAX FILIAL CRUZ'!D14," ")</f>
        <v>2</v>
      </c>
      <c r="G20" s="19">
        <f>IF(A20&lt;0,'CAR PROMAX FILIAL CRUZ'!E14," ")</f>
        <v>89374</v>
      </c>
      <c r="H20" s="19">
        <f>IF(A20&lt;0,'CAR PROMAX FILIAL CRUZ'!J14," ")</f>
        <v>514</v>
      </c>
      <c r="I20" s="15" t="str">
        <f>_xlfn.XLOOKUP(H20,'RN - SETORES'!A:A,'RN - SETORES'!B:B)</f>
        <v>Juan</v>
      </c>
      <c r="J20" s="15" t="str">
        <f>_xlfn.XLOOKUP(C20,'GV - SETORES'!D:D,'GV - SETORES'!E:E,IF(K20&gt;=-45,_xlfn.XLOOKUP(H20,'GV - SETORES'!A:A,'GV - SETORES'!B:B)))</f>
        <v>Jaissa</v>
      </c>
      <c r="K20" s="19">
        <f>IF(A20&lt;0,'CAR PROMAX FILIAL CRUZ'!O14," ")</f>
        <v>-35</v>
      </c>
      <c r="L20" s="21">
        <f>IF(A20&lt;0,'CAR PROMAX FILIAL CRUZ'!P14," ")</f>
        <v>46092</v>
      </c>
      <c r="M20" s="21">
        <f>IF(A20&lt;0,'CAR PROMAX FILIAL CRUZ'!Q14," ")</f>
        <v>46093</v>
      </c>
      <c r="N20" s="21">
        <f>IF(A20&lt;0,'CAR PROMAX FILIAL CRUZ'!R14," ")</f>
        <v>46101</v>
      </c>
      <c r="O20" s="22">
        <f>IF(A20&lt;0,'CAR PROMAX FILIAL CRUZ'!S14," ")</f>
        <v>1669.58</v>
      </c>
      <c r="P20" s="22">
        <f>IF(A20&lt;0,'CAR PROMAX FILIAL CRUZ'!T14," ")</f>
        <v>1669.58</v>
      </c>
      <c r="Q20" s="22">
        <f>IF(A20&lt;0,'CAR PROMAX FILIAL CRUZ'!U14," ")</f>
        <v>1848.77</v>
      </c>
      <c r="R20" s="19">
        <f>IF(A20&lt;0,'CAR PROMAX FILIAL CRUZ'!V14," ")</f>
        <v>3612008308</v>
      </c>
      <c r="T20" s="21"/>
      <c r="U20" s="17"/>
    </row>
    <row r="21" spans="1:21" x14ac:dyDescent="0.25">
      <c r="A21">
        <f>'CAR PROMAX FILIAL CRUZ'!O15</f>
        <v>-35</v>
      </c>
      <c r="B21" s="15" t="str">
        <f t="shared" si="0"/>
        <v>IREC.</v>
      </c>
      <c r="C21" s="15" t="str">
        <f t="shared" si="1"/>
        <v>GV</v>
      </c>
      <c r="D21" s="19">
        <f>IF(A21&lt;0,'CAR PROMAX FILIAL CRUZ'!B15," ")</f>
        <v>3968</v>
      </c>
      <c r="E21" s="20" t="str">
        <f>IF(A21&lt;0,'CAR PROMAX FILIAL CRUZ'!C15," ")</f>
        <v xml:space="preserve">REST. E PESTICARIA D                    </v>
      </c>
      <c r="F21" s="19">
        <f>IF(A21&lt;0,'CAR PROMAX FILIAL CRUZ'!D15," ")</f>
        <v>2</v>
      </c>
      <c r="G21" s="19">
        <f>IF(A21&lt;0,'CAR PROMAX FILIAL CRUZ'!E15," ")</f>
        <v>89591</v>
      </c>
      <c r="H21" s="19">
        <f>IF(A21&lt;0,'CAR PROMAX FILIAL CRUZ'!J15," ")</f>
        <v>514</v>
      </c>
      <c r="I21" s="15" t="str">
        <f>_xlfn.XLOOKUP(H21,'RN - SETORES'!A:A,'RN - SETORES'!B:B)</f>
        <v>Juan</v>
      </c>
      <c r="J21" s="15" t="str">
        <f>_xlfn.XLOOKUP(C21,'GV - SETORES'!D:D,'GV - SETORES'!E:E,IF(K21&gt;=-45,_xlfn.XLOOKUP(H21,'GV - SETORES'!A:A,'GV - SETORES'!B:B)))</f>
        <v>Jaissa</v>
      </c>
      <c r="K21" s="19">
        <f>IF(A21&lt;0,'CAR PROMAX FILIAL CRUZ'!O15," ")</f>
        <v>-35</v>
      </c>
      <c r="L21" s="21">
        <f>IF(A21&lt;0,'CAR PROMAX FILIAL CRUZ'!P15," ")</f>
        <v>46093</v>
      </c>
      <c r="M21" s="21">
        <f>IF(A21&lt;0,'CAR PROMAX FILIAL CRUZ'!Q15," ")</f>
        <v>46094</v>
      </c>
      <c r="N21" s="21">
        <f>IF(A21&lt;0,'CAR PROMAX FILIAL CRUZ'!R15," ")</f>
        <v>46101</v>
      </c>
      <c r="O21" s="22">
        <f>IF(A21&lt;0,'CAR PROMAX FILIAL CRUZ'!S15," ")</f>
        <v>894.24</v>
      </c>
      <c r="P21" s="22">
        <f>IF(A21&lt;0,'CAR PROMAX FILIAL CRUZ'!T15," ")</f>
        <v>894.24</v>
      </c>
      <c r="Q21" s="22">
        <f>IF(A21&lt;0,'CAR PROMAX FILIAL CRUZ'!U15," ")</f>
        <v>990.21</v>
      </c>
      <c r="R21" s="19">
        <f>IF(A21&lt;0,'CAR PROMAX FILIAL CRUZ'!V15," ")</f>
        <v>3612008348</v>
      </c>
      <c r="T21" s="21"/>
      <c r="U21" s="17"/>
    </row>
    <row r="22" spans="1:21" x14ac:dyDescent="0.25">
      <c r="A22">
        <f>'CAR PROMAX FILIAL CRUZ'!O16</f>
        <v>-32</v>
      </c>
      <c r="B22" s="15" t="str">
        <f t="shared" si="0"/>
        <v>IREC.</v>
      </c>
      <c r="C22" s="15" t="str">
        <f t="shared" si="1"/>
        <v>GV</v>
      </c>
      <c r="D22" s="19">
        <f>IF(A22&lt;0,'CAR PROMAX FILIAL CRUZ'!B16," ")</f>
        <v>3968</v>
      </c>
      <c r="E22" s="20" t="str">
        <f>IF(A22&lt;0,'CAR PROMAX FILIAL CRUZ'!C16," ")</f>
        <v xml:space="preserve">REST. E PESTICARIA D                    </v>
      </c>
      <c r="F22" s="19">
        <f>IF(A22&lt;0,'CAR PROMAX FILIAL CRUZ'!D16," ")</f>
        <v>2</v>
      </c>
      <c r="G22" s="19">
        <f>IF(A22&lt;0,'CAR PROMAX FILIAL CRUZ'!E16," ")</f>
        <v>89907</v>
      </c>
      <c r="H22" s="19">
        <f>IF(A22&lt;0,'CAR PROMAX FILIAL CRUZ'!J16," ")</f>
        <v>514</v>
      </c>
      <c r="I22" s="15" t="str">
        <f>_xlfn.XLOOKUP(H22,'RN - SETORES'!A:A,'RN - SETORES'!B:B)</f>
        <v>Juan</v>
      </c>
      <c r="J22" s="15" t="str">
        <f>_xlfn.XLOOKUP(C22,'GV - SETORES'!D:D,'GV - SETORES'!E:E,IF(K22&gt;=-45,_xlfn.XLOOKUP(H22,'GV - SETORES'!A:A,'GV - SETORES'!B:B)))</f>
        <v>Jaissa</v>
      </c>
      <c r="K22" s="19">
        <f>IF(A22&lt;0,'CAR PROMAX FILIAL CRUZ'!O16," ")</f>
        <v>-32</v>
      </c>
      <c r="L22" s="21">
        <f>IF(A22&lt;0,'CAR PROMAX FILIAL CRUZ'!P16," ")</f>
        <v>46094</v>
      </c>
      <c r="M22" s="21">
        <f>IF(A22&lt;0,'CAR PROMAX FILIAL CRUZ'!Q16," ")</f>
        <v>46095</v>
      </c>
      <c r="N22" s="21">
        <f>IF(A22&lt;0,'CAR PROMAX FILIAL CRUZ'!R16," ")</f>
        <v>46104</v>
      </c>
      <c r="O22" s="22">
        <f>IF(A22&lt;0,'CAR PROMAX FILIAL CRUZ'!S16," ")</f>
        <v>1225.24</v>
      </c>
      <c r="P22" s="22">
        <f>IF(A22&lt;0,'CAR PROMAX FILIAL CRUZ'!T16," ")</f>
        <v>1225.24</v>
      </c>
      <c r="Q22" s="22">
        <f>IF(A22&lt;0,'CAR PROMAX FILIAL CRUZ'!U16," ")</f>
        <v>1350.61</v>
      </c>
      <c r="R22" s="19">
        <f>IF(A22&lt;0,'CAR PROMAX FILIAL CRUZ'!V16," ")</f>
        <v>3612008405</v>
      </c>
      <c r="T22" s="21"/>
      <c r="U22" s="17"/>
    </row>
    <row r="23" spans="1:21" x14ac:dyDescent="0.25">
      <c r="A23">
        <f>'CAR PROMAX FILIAL CRUZ'!O17</f>
        <v>-28</v>
      </c>
      <c r="B23" s="15" t="str">
        <f t="shared" si="0"/>
        <v>INAD.</v>
      </c>
      <c r="C23" s="15" t="str">
        <f t="shared" si="1"/>
        <v>GV</v>
      </c>
      <c r="D23" s="19">
        <f>IF(A23&lt;0,'CAR PROMAX FILIAL CRUZ'!B17," ")</f>
        <v>2590</v>
      </c>
      <c r="E23" s="20" t="str">
        <f>IF(A23&lt;0,'CAR PROMAX FILIAL CRUZ'!C17," ")</f>
        <v xml:space="preserve">MULT STORE                              </v>
      </c>
      <c r="F23" s="19">
        <f>IF(A23&lt;0,'CAR PROMAX FILIAL CRUZ'!D17," ")</f>
        <v>2</v>
      </c>
      <c r="G23" s="19">
        <f>IF(A23&lt;0,'CAR PROMAX FILIAL CRUZ'!E17," ")</f>
        <v>90478</v>
      </c>
      <c r="H23" s="19">
        <f>IF(A23&lt;0,'CAR PROMAX FILIAL CRUZ'!J17," ")</f>
        <v>512</v>
      </c>
      <c r="I23" s="15" t="str">
        <f>_xlfn.XLOOKUP(H23,'RN - SETORES'!A:A,'RN - SETORES'!B:B)</f>
        <v>Kelvia</v>
      </c>
      <c r="J23" s="15" t="str">
        <f>_xlfn.XLOOKUP(C23,'GV - SETORES'!D:D,'GV - SETORES'!E:E,IF(K23&gt;=-45,_xlfn.XLOOKUP(H23,'GV - SETORES'!A:A,'GV - SETORES'!B:B)))</f>
        <v>Jaissa</v>
      </c>
      <c r="K23" s="19">
        <f>IF(A23&lt;0,'CAR PROMAX FILIAL CRUZ'!O17," ")</f>
        <v>-28</v>
      </c>
      <c r="L23" s="21">
        <f>IF(A23&lt;0,'CAR PROMAX FILIAL CRUZ'!P17," ")</f>
        <v>46099</v>
      </c>
      <c r="M23" s="21">
        <f>IF(A23&lt;0,'CAR PROMAX FILIAL CRUZ'!Q17," ")</f>
        <v>46101</v>
      </c>
      <c r="N23" s="21">
        <f>IF(A23&lt;0,'CAR PROMAX FILIAL CRUZ'!R17," ")</f>
        <v>46108</v>
      </c>
      <c r="O23" s="22">
        <f>IF(A23&lt;0,'CAR PROMAX FILIAL CRUZ'!S17," ")</f>
        <v>571.98</v>
      </c>
      <c r="P23" s="22">
        <f>IF(A23&lt;0,'CAR PROMAX FILIAL CRUZ'!T17," ")</f>
        <v>571.98</v>
      </c>
      <c r="Q23" s="22">
        <f>IF(A23&lt;0,'CAR PROMAX FILIAL CRUZ'!U17," ")</f>
        <v>626.69000000000005</v>
      </c>
      <c r="R23" s="19">
        <f>IF(A23&lt;0,'CAR PROMAX FILIAL CRUZ'!V17," ")</f>
        <v>3612008490</v>
      </c>
      <c r="T23" s="21"/>
      <c r="U23" s="17"/>
    </row>
    <row r="24" spans="1:21" x14ac:dyDescent="0.25">
      <c r="A24">
        <f>'CAR PROMAX FILIAL CRUZ'!O18</f>
        <v>-7</v>
      </c>
      <c r="B24" s="15" t="str">
        <f t="shared" si="0"/>
        <v>INAD.</v>
      </c>
      <c r="C24" s="15" t="str">
        <f t="shared" si="1"/>
        <v>RN</v>
      </c>
      <c r="D24" s="19">
        <f>IF(A24&lt;0,'CAR PROMAX FILIAL CRUZ'!B18," ")</f>
        <v>3345</v>
      </c>
      <c r="E24" s="20" t="str">
        <f>IF(A24&lt;0,'CAR PROMAX FILIAL CRUZ'!C18," ")</f>
        <v xml:space="preserve">S5 - BOTECO MARESIA                     </v>
      </c>
      <c r="F24" s="19">
        <f>IF(A24&lt;0,'CAR PROMAX FILIAL CRUZ'!D18," ")</f>
        <v>2</v>
      </c>
      <c r="G24" s="19">
        <f>IF(A24&lt;0,'CAR PROMAX FILIAL CRUZ'!E18," ")</f>
        <v>93859</v>
      </c>
      <c r="H24" s="19">
        <f>IF(A24&lt;0,'CAR PROMAX FILIAL CRUZ'!J18," ")</f>
        <v>514</v>
      </c>
      <c r="I24" s="15" t="str">
        <f>_xlfn.XLOOKUP(H24,'RN - SETORES'!A:A,'RN - SETORES'!B:B)</f>
        <v>Juan</v>
      </c>
      <c r="J24" s="15" t="str">
        <f>_xlfn.XLOOKUP(C24,'GV - SETORES'!D:D,'GV - SETORES'!E:E,IF(K24&gt;=-45,_xlfn.XLOOKUP(H24,'GV - SETORES'!A:A,'GV - SETORES'!B:B)))</f>
        <v>Jaissa</v>
      </c>
      <c r="K24" s="19">
        <f>IF(A24&lt;0,'CAR PROMAX FILIAL CRUZ'!O18," ")</f>
        <v>-7</v>
      </c>
      <c r="L24" s="21">
        <f>IF(A24&lt;0,'CAR PROMAX FILIAL CRUZ'!P18," ")</f>
        <v>46121</v>
      </c>
      <c r="M24" s="21">
        <f>IF(A24&lt;0,'CAR PROMAX FILIAL CRUZ'!Q18," ")</f>
        <v>46122</v>
      </c>
      <c r="N24" s="21">
        <f>IF(A24&lt;0,'CAR PROMAX FILIAL CRUZ'!R18," ")</f>
        <v>46129</v>
      </c>
      <c r="O24" s="22">
        <f>IF(A24&lt;0,'CAR PROMAX FILIAL CRUZ'!S18," ")</f>
        <v>949.69</v>
      </c>
      <c r="P24" s="22">
        <f>IF(A24&lt;0,'CAR PROMAX FILIAL CRUZ'!T18," ")</f>
        <v>949.69</v>
      </c>
      <c r="Q24" s="22">
        <f>IF(A24&lt;0,'CAR PROMAX FILIAL CRUZ'!U18," ")</f>
        <v>1007.29</v>
      </c>
      <c r="R24" s="19">
        <f>IF(A24&lt;0,'CAR PROMAX FILIAL CRUZ'!V18," ")</f>
        <v>3612008950</v>
      </c>
      <c r="T24" s="21"/>
      <c r="U24" s="17"/>
    </row>
    <row r="25" spans="1:21" x14ac:dyDescent="0.25">
      <c r="A25">
        <f>'CAR PROMAX FILIAL CRUZ'!O19</f>
        <v>-7</v>
      </c>
      <c r="B25" s="15" t="str">
        <f t="shared" si="0"/>
        <v>INAD.</v>
      </c>
      <c r="C25" s="15" t="str">
        <f t="shared" si="1"/>
        <v>RN</v>
      </c>
      <c r="D25" s="19">
        <f>IF(A25&lt;0,'CAR PROMAX FILIAL CRUZ'!B19," ")</f>
        <v>3994</v>
      </c>
      <c r="E25" s="38" t="str">
        <f>IF(A25&lt;0,'CAR PROMAX FILIAL CRUZ'!C19," ")</f>
        <v xml:space="preserve">CASA DO SABOR                           </v>
      </c>
      <c r="F25" s="44">
        <f>IF(A25&lt;0,'CAR PROMAX FILIAL CRUZ'!D19," ")</f>
        <v>2</v>
      </c>
      <c r="G25" s="44">
        <f>IF(A25&lt;0,'CAR PROMAX FILIAL CRUZ'!E19," ")</f>
        <v>93940</v>
      </c>
      <c r="H25" s="44">
        <f>IF(A25&lt;0,'CAR PROMAX FILIAL CRUZ'!J19," ")</f>
        <v>104</v>
      </c>
      <c r="I25" s="15" t="str">
        <f>_xlfn.XLOOKUP(H25,'RN - SETORES'!A:A,'RN - SETORES'!B:B)</f>
        <v>Neto</v>
      </c>
      <c r="J25" s="15" t="str">
        <f>_xlfn.XLOOKUP(C25,'GV - SETORES'!D:D,'GV - SETORES'!E:E,IF(K25&gt;=-45,_xlfn.XLOOKUP(H25,'GV - SETORES'!A:A,'GV - SETORES'!B:B)))</f>
        <v>Fredson</v>
      </c>
      <c r="K25" s="44">
        <f>IF(A25&lt;0,'CAR PROMAX FILIAL CRUZ'!O19," ")</f>
        <v>-7</v>
      </c>
      <c r="L25" s="45">
        <f>IF(A25&lt;0,'CAR PROMAX FILIAL CRUZ'!P19," ")</f>
        <v>46121</v>
      </c>
      <c r="M25" s="45">
        <f>IF(A25&lt;0,'CAR PROMAX FILIAL CRUZ'!Q19," ")</f>
        <v>46122</v>
      </c>
      <c r="N25" s="45">
        <f>IF(A25&lt;0,'CAR PROMAX FILIAL CRUZ'!R19," ")</f>
        <v>46129</v>
      </c>
      <c r="O25" s="27">
        <f>IF(A25&lt;0,'CAR PROMAX FILIAL CRUZ'!S19," ")</f>
        <v>966.94</v>
      </c>
      <c r="P25" s="27">
        <f>IF(A25&lt;0,'CAR PROMAX FILIAL CRUZ'!T19," ")</f>
        <v>966.94</v>
      </c>
      <c r="Q25" s="22">
        <f>IF(A25&lt;0,'CAR PROMAX FILIAL CRUZ'!U19," ")</f>
        <v>1025.5999999999999</v>
      </c>
      <c r="R25" s="19">
        <f>IF(A25&lt;0,'CAR PROMAX FILIAL CRUZ'!V19," ")</f>
        <v>3612008965</v>
      </c>
      <c r="T25" s="21"/>
      <c r="U25" s="17"/>
    </row>
    <row r="26" spans="1:21" s="32" customFormat="1" x14ac:dyDescent="0.25">
      <c r="A26" s="32">
        <f>'CAR PROMAX FILIAL CRUZ'!O20</f>
        <v>-4</v>
      </c>
      <c r="B26" s="15" t="str">
        <f t="shared" si="0"/>
        <v>INAD.</v>
      </c>
      <c r="C26" s="33" t="str">
        <f t="shared" si="1"/>
        <v>RN</v>
      </c>
      <c r="D26" s="34">
        <f>IF(A26&lt;0,'CAR PROMAX FILIAL CRUZ'!B20," ")</f>
        <v>427</v>
      </c>
      <c r="E26" s="40" t="str">
        <f>IF(A26&lt;0,'CAR PROMAX FILIAL CRUZ'!C20," ")</f>
        <v xml:space="preserve">SUP MERC ECONOMICO 0                    </v>
      </c>
      <c r="F26" s="41">
        <f>IF(A26&lt;0,'CAR PROMAX FILIAL CRUZ'!D20," ")</f>
        <v>2</v>
      </c>
      <c r="G26" s="41">
        <f>IF(A26&lt;0,'CAR PROMAX FILIAL CRUZ'!E20," ")</f>
        <v>94094</v>
      </c>
      <c r="H26" s="41">
        <f>IF(A26&lt;0,'CAR PROMAX FILIAL CRUZ'!J20," ")</f>
        <v>515</v>
      </c>
      <c r="I26" s="15" t="str">
        <f>_xlfn.XLOOKUP(H26,'RN - SETORES'!A:A,'RN - SETORES'!B:B)</f>
        <v>Jose</v>
      </c>
      <c r="J26" s="15" t="str">
        <f>_xlfn.XLOOKUP(C26,'GV - SETORES'!D:D,'GV - SETORES'!E:E,IF(K26&gt;=-45,_xlfn.XLOOKUP(H26,'GV - SETORES'!A:A,'GV - SETORES'!B:B)))</f>
        <v>Jaissa</v>
      </c>
      <c r="K26" s="41">
        <f>IF(A26&lt;0,'CAR PROMAX FILIAL CRUZ'!O20," ")</f>
        <v>-4</v>
      </c>
      <c r="L26" s="42">
        <f>IF(A26&lt;0,'CAR PROMAX FILIAL CRUZ'!P20," ")</f>
        <v>46122</v>
      </c>
      <c r="M26" s="42">
        <f>IF(A26&lt;0,'CAR PROMAX FILIAL CRUZ'!Q20," ")</f>
        <v>46123</v>
      </c>
      <c r="N26" s="42">
        <f>IF(A26&lt;0,'CAR PROMAX FILIAL CRUZ'!R20," ")</f>
        <v>46132</v>
      </c>
      <c r="O26" s="43">
        <f>IF(A26&lt;0,'CAR PROMAX FILIAL CRUZ'!S20," ")</f>
        <v>3264.21</v>
      </c>
      <c r="P26" s="43">
        <f>IF(A26&lt;0,'CAR PROMAX FILIAL CRUZ'!T20," ")</f>
        <v>3264.21</v>
      </c>
      <c r="Q26" s="37">
        <f>IF(A26&lt;0,'CAR PROMAX FILIAL CRUZ'!U20," ")</f>
        <v>3445.91</v>
      </c>
      <c r="R26" s="34">
        <f>IF(A26&lt;0,'CAR PROMAX FILIAL CRUZ'!V20," ")</f>
        <v>3612008986</v>
      </c>
      <c r="T26" s="21"/>
      <c r="U26" s="17"/>
    </row>
    <row r="27" spans="1:21" s="32" customFormat="1" x14ac:dyDescent="0.25">
      <c r="A27" s="32">
        <f>'CAR PROMAX FILIAL CRUZ'!O21</f>
        <v>-4</v>
      </c>
      <c r="B27" s="15" t="str">
        <f t="shared" si="0"/>
        <v>INAD.</v>
      </c>
      <c r="C27" s="33" t="str">
        <f t="shared" si="1"/>
        <v>RN</v>
      </c>
      <c r="D27" s="34">
        <f>IF(A27&lt;0,'CAR PROMAX FILIAL CRUZ'!B21," ")</f>
        <v>427</v>
      </c>
      <c r="E27" s="40" t="str">
        <f>IF(A27&lt;0,'CAR PROMAX FILIAL CRUZ'!C21," ")</f>
        <v xml:space="preserve">SUP MERC ECONOMICO 0                    </v>
      </c>
      <c r="F27" s="41">
        <f>IF(A27&lt;0,'CAR PROMAX FILIAL CRUZ'!D21," ")</f>
        <v>2</v>
      </c>
      <c r="G27" s="41">
        <f>IF(A27&lt;0,'CAR PROMAX FILIAL CRUZ'!E21," ")</f>
        <v>94095</v>
      </c>
      <c r="H27" s="41">
        <f>IF(A27&lt;0,'CAR PROMAX FILIAL CRUZ'!J21," ")</f>
        <v>515</v>
      </c>
      <c r="I27" s="15" t="str">
        <f>_xlfn.XLOOKUP(H27,'RN - SETORES'!A:A,'RN - SETORES'!B:B)</f>
        <v>Jose</v>
      </c>
      <c r="J27" s="15" t="str">
        <f>_xlfn.XLOOKUP(C27,'GV - SETORES'!D:D,'GV - SETORES'!E:E,IF(K27&gt;=-45,_xlfn.XLOOKUP(H27,'GV - SETORES'!A:A,'GV - SETORES'!B:B)))</f>
        <v>Jaissa</v>
      </c>
      <c r="K27" s="41">
        <f>IF(A27&lt;0,'CAR PROMAX FILIAL CRUZ'!O21," ")</f>
        <v>-4</v>
      </c>
      <c r="L27" s="42">
        <f>IF(A27&lt;0,'CAR PROMAX FILIAL CRUZ'!P21," ")</f>
        <v>46122</v>
      </c>
      <c r="M27" s="42">
        <f>IF(A27&lt;0,'CAR PROMAX FILIAL CRUZ'!Q21," ")</f>
        <v>46123</v>
      </c>
      <c r="N27" s="42">
        <f>IF(A27&lt;0,'CAR PROMAX FILIAL CRUZ'!R21," ")</f>
        <v>46132</v>
      </c>
      <c r="O27" s="43">
        <f>IF(A27&lt;0,'CAR PROMAX FILIAL CRUZ'!S21," ")</f>
        <v>4072.78</v>
      </c>
      <c r="P27" s="43">
        <f>IF(A27&lt;0,'CAR PROMAX FILIAL CRUZ'!T21," ")</f>
        <v>4072.78</v>
      </c>
      <c r="Q27" s="37">
        <f>IF(A27&lt;0,'CAR PROMAX FILIAL CRUZ'!U21," ")</f>
        <v>4299.49</v>
      </c>
      <c r="R27" s="34">
        <f>IF(A27&lt;0,'CAR PROMAX FILIAL CRUZ'!V21," ")</f>
        <v>3612008987</v>
      </c>
      <c r="T27" s="21"/>
      <c r="U27" s="17"/>
    </row>
    <row r="28" spans="1:21" s="32" customFormat="1" x14ac:dyDescent="0.25">
      <c r="A28" s="32">
        <f>'CAR PROMAX FILIAL CRUZ'!O22</f>
        <v>-4</v>
      </c>
      <c r="B28" s="15" t="str">
        <f t="shared" si="0"/>
        <v>INAD.</v>
      </c>
      <c r="C28" s="33" t="str">
        <f t="shared" si="1"/>
        <v>RN</v>
      </c>
      <c r="D28" s="34">
        <f>IF(A28&lt;0,'CAR PROMAX FILIAL CRUZ'!B22," ")</f>
        <v>3405</v>
      </c>
      <c r="E28" s="35" t="str">
        <f>IF(A28&lt;0,'CAR PROMAX FILIAL CRUZ'!C22," ")</f>
        <v xml:space="preserve">CLUBE DOS COQUEIROS                     </v>
      </c>
      <c r="F28" s="34">
        <f>IF(A28&lt;0,'CAR PROMAX FILIAL CRUZ'!D22," ")</f>
        <v>2</v>
      </c>
      <c r="G28" s="34">
        <f>IF(A28&lt;0,'CAR PROMAX FILIAL CRUZ'!E22," ")</f>
        <v>94106</v>
      </c>
      <c r="H28" s="34">
        <f>IF(A28&lt;0,'CAR PROMAX FILIAL CRUZ'!J22," ")</f>
        <v>511</v>
      </c>
      <c r="I28" s="15" t="str">
        <f>_xlfn.XLOOKUP(H28,'RN - SETORES'!A:A,'RN - SETORES'!B:B)</f>
        <v>Danilo</v>
      </c>
      <c r="J28" s="15" t="str">
        <f>_xlfn.XLOOKUP(C28,'GV - SETORES'!D:D,'GV - SETORES'!E:E,IF(K28&gt;=-45,_xlfn.XLOOKUP(H28,'GV - SETORES'!A:A,'GV - SETORES'!B:B)))</f>
        <v>Jaissa</v>
      </c>
      <c r="K28" s="34">
        <f>IF(A28&lt;0,'CAR PROMAX FILIAL CRUZ'!O22," ")</f>
        <v>-4</v>
      </c>
      <c r="L28" s="36">
        <f>IF(A28&lt;0,'CAR PROMAX FILIAL CRUZ'!P22," ")</f>
        <v>46122</v>
      </c>
      <c r="M28" s="36">
        <f>IF(A28&lt;0,'CAR PROMAX FILIAL CRUZ'!Q22," ")</f>
        <v>46123</v>
      </c>
      <c r="N28" s="36">
        <f>IF(A28&lt;0,'CAR PROMAX FILIAL CRUZ'!R22," ")</f>
        <v>46132</v>
      </c>
      <c r="O28" s="37">
        <f>IF(A28&lt;0,'CAR PROMAX FILIAL CRUZ'!S22," ")</f>
        <v>663.4</v>
      </c>
      <c r="P28" s="37">
        <f>IF(A28&lt;0,'CAR PROMAX FILIAL CRUZ'!T22," ")</f>
        <v>663.4</v>
      </c>
      <c r="Q28" s="37">
        <f>IF(A28&lt;0,'CAR PROMAX FILIAL CRUZ'!U22," ")</f>
        <v>700.32</v>
      </c>
      <c r="R28" s="34">
        <f>IF(A28&lt;0,'CAR PROMAX FILIAL CRUZ'!V22," ")</f>
        <v>3612008990</v>
      </c>
      <c r="T28" s="21"/>
      <c r="U28" s="17"/>
    </row>
    <row r="29" spans="1:21" s="32" customFormat="1" x14ac:dyDescent="0.25">
      <c r="A29" s="32">
        <f>'CAR PROMAX FILIAL CRUZ'!O23</f>
        <v>-4</v>
      </c>
      <c r="B29" s="15" t="str">
        <f t="shared" si="0"/>
        <v>INAD.</v>
      </c>
      <c r="C29" s="33" t="str">
        <f t="shared" si="1"/>
        <v>RN</v>
      </c>
      <c r="D29" s="34">
        <f>IF(A29&lt;0,'CAR PROMAX FILIAL CRUZ'!B23," ")</f>
        <v>3416</v>
      </c>
      <c r="E29" s="35" t="str">
        <f>IF(A29&lt;0,'CAR PROMAX FILIAL CRUZ'!C23," ")</f>
        <v xml:space="preserve">RESTAURANTE TIA ROSA                    </v>
      </c>
      <c r="F29" s="34">
        <f>IF(A29&lt;0,'CAR PROMAX FILIAL CRUZ'!D23," ")</f>
        <v>2</v>
      </c>
      <c r="G29" s="34">
        <f>IF(A29&lt;0,'CAR PROMAX FILIAL CRUZ'!E23," ")</f>
        <v>94145</v>
      </c>
      <c r="H29" s="34">
        <f>IF(A29&lt;0,'CAR PROMAX FILIAL CRUZ'!J23," ")</f>
        <v>104</v>
      </c>
      <c r="I29" s="15" t="str">
        <f>_xlfn.XLOOKUP(H29,'RN - SETORES'!A:A,'RN - SETORES'!B:B)</f>
        <v>Neto</v>
      </c>
      <c r="J29" s="15" t="str">
        <f>_xlfn.XLOOKUP(C29,'GV - SETORES'!D:D,'GV - SETORES'!E:E,IF(K29&gt;=-45,_xlfn.XLOOKUP(H29,'GV - SETORES'!A:A,'GV - SETORES'!B:B)))</f>
        <v>Fredson</v>
      </c>
      <c r="K29" s="34">
        <f>IF(A29&lt;0,'CAR PROMAX FILIAL CRUZ'!O23," ")</f>
        <v>-4</v>
      </c>
      <c r="L29" s="36">
        <f>IF(A29&lt;0,'CAR PROMAX FILIAL CRUZ'!P23," ")</f>
        <v>46122</v>
      </c>
      <c r="M29" s="36">
        <f>IF(A29&lt;0,'CAR PROMAX FILIAL CRUZ'!Q23," ")</f>
        <v>46123</v>
      </c>
      <c r="N29" s="36">
        <f>IF(A29&lt;0,'CAR PROMAX FILIAL CRUZ'!R23," ")</f>
        <v>46132</v>
      </c>
      <c r="O29" s="37">
        <f>IF(A29&lt;0,'CAR PROMAX FILIAL CRUZ'!S23," ")</f>
        <v>304.93</v>
      </c>
      <c r="P29" s="37">
        <f>IF(A29&lt;0,'CAR PROMAX FILIAL CRUZ'!T23," ")</f>
        <v>304.93</v>
      </c>
      <c r="Q29" s="37">
        <f>IF(A29&lt;0,'CAR PROMAX FILIAL CRUZ'!U23," ")</f>
        <v>321.89999999999998</v>
      </c>
      <c r="R29" s="34">
        <f>IF(A29&lt;0,'CAR PROMAX FILIAL CRUZ'!V23," ")</f>
        <v>3612009001</v>
      </c>
      <c r="T29" s="21"/>
      <c r="U29" s="17"/>
    </row>
    <row r="30" spans="1:21" s="32" customFormat="1" x14ac:dyDescent="0.25">
      <c r="A30" s="32">
        <f>'CAR PROMAX FILIAL CRUZ'!O24</f>
        <v>-2</v>
      </c>
      <c r="B30" s="15" t="str">
        <f t="shared" si="0"/>
        <v>INAD.</v>
      </c>
      <c r="C30" s="33" t="str">
        <f t="shared" si="1"/>
        <v>RN</v>
      </c>
      <c r="D30" s="34">
        <f>IF(A30&lt;0,'CAR PROMAX FILIAL CRUZ'!B24," ")</f>
        <v>265</v>
      </c>
      <c r="E30" s="35" t="str">
        <f>IF(A30&lt;0,'CAR PROMAX FILIAL CRUZ'!C24," ")</f>
        <v xml:space="preserve">STAR CONVENIENCIA  A                    </v>
      </c>
      <c r="F30" s="34">
        <f>IF(A30&lt;0,'CAR PROMAX FILIAL CRUZ'!D24," ")</f>
        <v>2</v>
      </c>
      <c r="G30" s="34">
        <f>IF(A30&lt;0,'CAR PROMAX FILIAL CRUZ'!E24," ")</f>
        <v>95102</v>
      </c>
      <c r="H30" s="34">
        <f>IF(A30&lt;0,'CAR PROMAX FILIAL CRUZ'!J24," ")</f>
        <v>103</v>
      </c>
      <c r="I30" s="15" t="str">
        <f>_xlfn.XLOOKUP(H30,'RN - SETORES'!A:A,'RN - SETORES'!B:B)</f>
        <v>André</v>
      </c>
      <c r="J30" s="15" t="str">
        <f>_xlfn.XLOOKUP(C30,'GV - SETORES'!D:D,'GV - SETORES'!E:E,IF(K30&gt;=-45,_xlfn.XLOOKUP(H30,'GV - SETORES'!A:A,'GV - SETORES'!B:B)))</f>
        <v>Fredson</v>
      </c>
      <c r="K30" s="34">
        <f>IF(A30&lt;0,'CAR PROMAX FILIAL CRUZ'!O24," ")</f>
        <v>-2</v>
      </c>
      <c r="L30" s="36">
        <f>IF(A30&lt;0,'CAR PROMAX FILIAL CRUZ'!P24," ")</f>
        <v>46127</v>
      </c>
      <c r="M30" s="36">
        <f>IF(A30&lt;0,'CAR PROMAX FILIAL CRUZ'!Q24," ")</f>
        <v>46128</v>
      </c>
      <c r="N30" s="36">
        <f>IF(A30&lt;0,'CAR PROMAX FILIAL CRUZ'!R24," ")</f>
        <v>46134</v>
      </c>
      <c r="O30" s="37">
        <f>IF(A30&lt;0,'CAR PROMAX FILIAL CRUZ'!S24," ")</f>
        <v>1663.39</v>
      </c>
      <c r="P30" s="37">
        <f>IF(A30&lt;0,'CAR PROMAX FILIAL CRUZ'!T24," ")</f>
        <v>1663.39</v>
      </c>
      <c r="Q30" s="37">
        <f>IF(A30&lt;0,'CAR PROMAX FILIAL CRUZ'!U24," ")</f>
        <v>1750.43</v>
      </c>
      <c r="R30" s="34">
        <f>IF(A30&lt;0,'CAR PROMAX FILIAL CRUZ'!V24," ")</f>
        <v>3612009147</v>
      </c>
      <c r="T30" s="21"/>
      <c r="U30" s="17"/>
    </row>
    <row r="31" spans="1:21" s="32" customFormat="1" ht="15" customHeight="1" x14ac:dyDescent="0.25">
      <c r="A31" s="32">
        <f>'CAR PROMAX FILIAL CRUZ'!O25</f>
        <v>-2</v>
      </c>
      <c r="B31" s="15" t="str">
        <f t="shared" si="0"/>
        <v>INAD.</v>
      </c>
      <c r="C31" s="33" t="str">
        <f t="shared" si="1"/>
        <v>RN</v>
      </c>
      <c r="D31" s="34">
        <f>IF(A31&lt;0,'CAR PROMAX FILIAL CRUZ'!B25," ")</f>
        <v>1103</v>
      </c>
      <c r="E31" s="35" t="str">
        <f>IF(A31&lt;0,'CAR PROMAX FILIAL CRUZ'!C25," ")</f>
        <v xml:space="preserve">TN CONVENIENCIA JERI                    </v>
      </c>
      <c r="F31" s="34">
        <f>IF(A31&lt;0,'CAR PROMAX FILIAL CRUZ'!D25," ")</f>
        <v>2</v>
      </c>
      <c r="G31" s="34">
        <f>IF(A31&lt;0,'CAR PROMAX FILIAL CRUZ'!E25," ")</f>
        <v>94719</v>
      </c>
      <c r="H31" s="34">
        <f>IF(A31&lt;0,'CAR PROMAX FILIAL CRUZ'!J25," ")</f>
        <v>514</v>
      </c>
      <c r="I31" s="15" t="str">
        <f>_xlfn.XLOOKUP(H31,'RN - SETORES'!A:A,'RN - SETORES'!B:B)</f>
        <v>Juan</v>
      </c>
      <c r="J31" s="15" t="str">
        <f>_xlfn.XLOOKUP(C31,'GV - SETORES'!D:D,'GV - SETORES'!E:E,IF(K31&gt;=-45,_xlfn.XLOOKUP(H31,'GV - SETORES'!A:A,'GV - SETORES'!B:B)))</f>
        <v>Jaissa</v>
      </c>
      <c r="K31" s="34">
        <f>IF(A31&lt;0,'CAR PROMAX FILIAL CRUZ'!O25," ")</f>
        <v>-2</v>
      </c>
      <c r="L31" s="36">
        <f>IF(A31&lt;0,'CAR PROMAX FILIAL CRUZ'!P25," ")</f>
        <v>46126</v>
      </c>
      <c r="M31" s="36">
        <f>IF(A31&lt;0,'CAR PROMAX FILIAL CRUZ'!Q25," ")</f>
        <v>46127</v>
      </c>
      <c r="N31" s="36">
        <f>IF(A31&lt;0,'CAR PROMAX FILIAL CRUZ'!R25," ")</f>
        <v>46134</v>
      </c>
      <c r="O31" s="37">
        <f>IF(A31&lt;0,'CAR PROMAX FILIAL CRUZ'!S25," ")</f>
        <v>787.96</v>
      </c>
      <c r="P31" s="37">
        <f>IF(A31&lt;0,'CAR PROMAX FILIAL CRUZ'!T25," ")</f>
        <v>787.96</v>
      </c>
      <c r="Q31" s="37">
        <f>IF(A31&lt;0,'CAR PROMAX FILIAL CRUZ'!U25," ")</f>
        <v>829.19</v>
      </c>
      <c r="R31" s="34">
        <f>IF(A31&lt;0,'CAR PROMAX FILIAL CRUZ'!V25," ")</f>
        <v>3612009065</v>
      </c>
      <c r="T31" s="21"/>
      <c r="U31" s="17"/>
    </row>
    <row r="32" spans="1:21" s="32" customFormat="1" x14ac:dyDescent="0.25">
      <c r="A32" s="32">
        <f>'CAR PROMAX FILIAL CRUZ'!O26</f>
        <v>-2</v>
      </c>
      <c r="B32" s="15" t="str">
        <f t="shared" si="0"/>
        <v>INAD.</v>
      </c>
      <c r="C32" s="33" t="str">
        <f t="shared" si="1"/>
        <v>RN</v>
      </c>
      <c r="D32" s="34">
        <f>IF(A32&lt;0,'CAR PROMAX FILIAL CRUZ'!B26," ")</f>
        <v>4006</v>
      </c>
      <c r="E32" s="35" t="str">
        <f>IF(A32&lt;0,'CAR PROMAX FILIAL CRUZ'!C26," ")</f>
        <v xml:space="preserve">MERCADINHO TODO DIA                     </v>
      </c>
      <c r="F32" s="34">
        <f>IF(A32&lt;0,'CAR PROMAX FILIAL CRUZ'!D26," ")</f>
        <v>2</v>
      </c>
      <c r="G32" s="34">
        <f>IF(A32&lt;0,'CAR PROMAX FILIAL CRUZ'!E26," ")</f>
        <v>94815</v>
      </c>
      <c r="H32" s="34">
        <f>IF(A32&lt;0,'CAR PROMAX FILIAL CRUZ'!J26," ")</f>
        <v>512</v>
      </c>
      <c r="I32" s="15" t="str">
        <f>_xlfn.XLOOKUP(H32,'RN - SETORES'!A:A,'RN - SETORES'!B:B)</f>
        <v>Kelvia</v>
      </c>
      <c r="J32" s="15" t="str">
        <f>_xlfn.XLOOKUP(C32,'GV - SETORES'!D:D,'GV - SETORES'!E:E,IF(K32&gt;=-45,_xlfn.XLOOKUP(H32,'GV - SETORES'!A:A,'GV - SETORES'!B:B)))</f>
        <v>Jaissa</v>
      </c>
      <c r="K32" s="34">
        <f>IF(A32&lt;0,'CAR PROMAX FILIAL CRUZ'!O26," ")</f>
        <v>-2</v>
      </c>
      <c r="L32" s="36">
        <f>IF(A32&lt;0,'CAR PROMAX FILIAL CRUZ'!P26," ")</f>
        <v>46126</v>
      </c>
      <c r="M32" s="36">
        <f>IF(A32&lt;0,'CAR PROMAX FILIAL CRUZ'!Q26," ")</f>
        <v>46127</v>
      </c>
      <c r="N32" s="36">
        <f>IF(A32&lt;0,'CAR PROMAX FILIAL CRUZ'!R26," ")</f>
        <v>46134</v>
      </c>
      <c r="O32" s="37">
        <f>IF(A32&lt;0,'CAR PROMAX FILIAL CRUZ'!S26," ")</f>
        <v>327</v>
      </c>
      <c r="P32" s="37">
        <f>IF(A32&lt;0,'CAR PROMAX FILIAL CRUZ'!T26," ")</f>
        <v>327</v>
      </c>
      <c r="Q32" s="37">
        <f>IF(A32&lt;0,'CAR PROMAX FILIAL CRUZ'!U26," ")</f>
        <v>344.1</v>
      </c>
      <c r="R32" s="34">
        <f>IF(A32&lt;0,'CAR PROMAX FILIAL CRUZ'!V26," ")</f>
        <v>3612009091</v>
      </c>
      <c r="T32" s="21"/>
      <c r="U32" s="17"/>
    </row>
    <row r="33" spans="1:21" x14ac:dyDescent="0.25">
      <c r="A33">
        <f>'CAR PROMAX FILIAL CRUZ'!O27</f>
        <v>-2</v>
      </c>
      <c r="B33" s="15" t="str">
        <f t="shared" si="0"/>
        <v>INAD.</v>
      </c>
      <c r="C33" s="15" t="str">
        <f t="shared" si="1"/>
        <v>RN</v>
      </c>
      <c r="D33" s="19">
        <f>IF(A33&lt;0,'CAR PROMAX FILIAL CRUZ'!B27," ")</f>
        <v>4024</v>
      </c>
      <c r="E33" s="20" t="str">
        <f>IF(A33&lt;0,'CAR PROMAX FILIAL CRUZ'!C27," ")</f>
        <v xml:space="preserve">MEGA FRIOS                              </v>
      </c>
      <c r="F33" s="19">
        <f>IF(A33&lt;0,'CAR PROMAX FILIAL CRUZ'!D27," ")</f>
        <v>2</v>
      </c>
      <c r="G33" s="19">
        <f>IF(A33&lt;0,'CAR PROMAX FILIAL CRUZ'!E27," ")</f>
        <v>94702</v>
      </c>
      <c r="H33" s="19">
        <f>IF(A33&lt;0,'CAR PROMAX FILIAL CRUZ'!J27," ")</f>
        <v>102</v>
      </c>
      <c r="I33" s="15" t="str">
        <f>_xlfn.XLOOKUP(H33,'RN - SETORES'!A:A,'RN - SETORES'!B:B)</f>
        <v>Francisco</v>
      </c>
      <c r="J33" s="15" t="str">
        <f>_xlfn.XLOOKUP(C33,'GV - SETORES'!D:D,'GV - SETORES'!E:E,IF(K33&gt;=-45,_xlfn.XLOOKUP(H33,'GV - SETORES'!A:A,'GV - SETORES'!B:B)))</f>
        <v>Fredson</v>
      </c>
      <c r="K33" s="19">
        <f>IF(A33&lt;0,'CAR PROMAX FILIAL CRUZ'!O27," ")</f>
        <v>-2</v>
      </c>
      <c r="L33" s="21">
        <f>IF(A33&lt;0,'CAR PROMAX FILIAL CRUZ'!P27," ")</f>
        <v>46125</v>
      </c>
      <c r="M33" s="21">
        <f>IF(A33&lt;0,'CAR PROMAX FILIAL CRUZ'!Q27," ")</f>
        <v>46126</v>
      </c>
      <c r="N33" s="21">
        <f>IF(A33&lt;0,'CAR PROMAX FILIAL CRUZ'!R27," ")</f>
        <v>46134</v>
      </c>
      <c r="O33" s="22">
        <f>IF(A33&lt;0,'CAR PROMAX FILIAL CRUZ'!S27," ")</f>
        <v>308.33</v>
      </c>
      <c r="P33" s="22">
        <f>IF(A33&lt;0,'CAR PROMAX FILIAL CRUZ'!T27," ")</f>
        <v>308.33</v>
      </c>
      <c r="Q33" s="22">
        <f>IF(A33&lt;0,'CAR PROMAX FILIAL CRUZ'!U27," ")</f>
        <v>324.45</v>
      </c>
      <c r="R33" s="19">
        <f>IF(A33&lt;0,'CAR PROMAX FILIAL CRUZ'!V27," ")</f>
        <v>3612009059</v>
      </c>
      <c r="T33" s="21"/>
      <c r="U33" s="17"/>
    </row>
    <row r="34" spans="1:21" s="32" customFormat="1" x14ac:dyDescent="0.25">
      <c r="A34" s="32">
        <f>'CAR PROMAX FILIAL CRUZ'!O28</f>
        <v>-1</v>
      </c>
      <c r="B34" s="15" t="str">
        <f t="shared" si="0"/>
        <v>INAD.</v>
      </c>
      <c r="C34" s="33" t="str">
        <f t="shared" si="1"/>
        <v>RN</v>
      </c>
      <c r="D34" s="34">
        <f>IF(A34&lt;0,'CAR PROMAX FILIAL CRUZ'!B28," ")</f>
        <v>895</v>
      </c>
      <c r="E34" s="35" t="str">
        <f>IF(A34&lt;0,'CAR PROMAX FILIAL CRUZ'!C28," ")</f>
        <v xml:space="preserve">REST JERILICIA JERI                     </v>
      </c>
      <c r="F34" s="34">
        <f>IF(A34&lt;0,'CAR PROMAX FILIAL CRUZ'!D28," ")</f>
        <v>2</v>
      </c>
      <c r="G34" s="34">
        <f>IF(A34&lt;0,'CAR PROMAX FILIAL CRUZ'!E28," ")</f>
        <v>95003</v>
      </c>
      <c r="H34" s="34">
        <f>IF(A34&lt;0,'CAR PROMAX FILIAL CRUZ'!J28," ")</f>
        <v>514</v>
      </c>
      <c r="I34" s="15" t="str">
        <f>_xlfn.XLOOKUP(H34,'RN - SETORES'!A:A,'RN - SETORES'!B:B)</f>
        <v>Juan</v>
      </c>
      <c r="J34" s="15" t="str">
        <f>_xlfn.XLOOKUP(C34,'GV - SETORES'!D:D,'GV - SETORES'!E:E,IF(K34&gt;=-45,_xlfn.XLOOKUP(H34,'GV - SETORES'!A:A,'GV - SETORES'!B:B)))</f>
        <v>Jaissa</v>
      </c>
      <c r="K34" s="34">
        <f>IF(A34&lt;0,'CAR PROMAX FILIAL CRUZ'!O28," ")</f>
        <v>-1</v>
      </c>
      <c r="L34" s="36">
        <f>IF(A34&lt;0,'CAR PROMAX FILIAL CRUZ'!P28," ")</f>
        <v>46127</v>
      </c>
      <c r="M34" s="36">
        <f>IF(A34&lt;0,'CAR PROMAX FILIAL CRUZ'!Q28," ")</f>
        <v>46128</v>
      </c>
      <c r="N34" s="36">
        <f>IF(A34&lt;0,'CAR PROMAX FILIAL CRUZ'!R28," ")</f>
        <v>46135</v>
      </c>
      <c r="O34" s="37">
        <f>IF(A34&lt;0,'CAR PROMAX FILIAL CRUZ'!S28," ")</f>
        <v>320.16000000000003</v>
      </c>
      <c r="P34" s="37">
        <f>IF(A34&lt;0,'CAR PROMAX FILIAL CRUZ'!T28," ")</f>
        <v>320.16000000000003</v>
      </c>
      <c r="Q34" s="37">
        <f>IF(A34&lt;0,'CAR PROMAX FILIAL CRUZ'!U28," ")</f>
        <v>336.37</v>
      </c>
      <c r="R34" s="34">
        <f>IF(A34&lt;0,'CAR PROMAX FILIAL CRUZ'!V28," ")</f>
        <v>3612009125</v>
      </c>
      <c r="T34" s="21"/>
      <c r="U34" s="17"/>
    </row>
    <row r="35" spans="1:21" s="32" customFormat="1" x14ac:dyDescent="0.25">
      <c r="A35" s="32">
        <f>'CAR PROMAX FILIAL CRUZ'!O29</f>
        <v>-1</v>
      </c>
      <c r="B35" s="15" t="str">
        <f t="shared" si="0"/>
        <v>INAD.</v>
      </c>
      <c r="C35" s="33" t="str">
        <f t="shared" si="1"/>
        <v>RN</v>
      </c>
      <c r="D35" s="34">
        <f>IF(A35&lt;0,'CAR PROMAX FILIAL CRUZ'!B29," ")</f>
        <v>2681</v>
      </c>
      <c r="E35" s="40" t="str">
        <f>IF(A35&lt;0,'CAR PROMAX FILIAL CRUZ'!C29," ")</f>
        <v xml:space="preserve">BUTECO DO ORLANDO 2                     </v>
      </c>
      <c r="F35" s="41">
        <f>IF(A35&lt;0,'CAR PROMAX FILIAL CRUZ'!D29," ")</f>
        <v>2</v>
      </c>
      <c r="G35" s="41">
        <f>IF(A35&lt;0,'CAR PROMAX FILIAL CRUZ'!E29," ")</f>
        <v>95028</v>
      </c>
      <c r="H35" s="41">
        <f>IF(A35&lt;0,'CAR PROMAX FILIAL CRUZ'!J29," ")</f>
        <v>512</v>
      </c>
      <c r="I35" s="15" t="str">
        <f>_xlfn.XLOOKUP(H35,'RN - SETORES'!A:A,'RN - SETORES'!B:B)</f>
        <v>Kelvia</v>
      </c>
      <c r="J35" s="15" t="str">
        <f>_xlfn.XLOOKUP(C35,'GV - SETORES'!D:D,'GV - SETORES'!E:E,IF(K35&gt;=-45,_xlfn.XLOOKUP(H35,'GV - SETORES'!A:A,'GV - SETORES'!B:B)))</f>
        <v>Jaissa</v>
      </c>
      <c r="K35" s="41">
        <f>IF(A35&lt;0,'CAR PROMAX FILIAL CRUZ'!O29," ")</f>
        <v>-1</v>
      </c>
      <c r="L35" s="42">
        <f>IF(A35&lt;0,'CAR PROMAX FILIAL CRUZ'!P29," ")</f>
        <v>46127</v>
      </c>
      <c r="M35" s="42">
        <f>IF(A35&lt;0,'CAR PROMAX FILIAL CRUZ'!Q29," ")</f>
        <v>46128</v>
      </c>
      <c r="N35" s="42">
        <f>IF(A35&lt;0,'CAR PROMAX FILIAL CRUZ'!R29," ")</f>
        <v>46135</v>
      </c>
      <c r="O35" s="43">
        <f>IF(A35&lt;0,'CAR PROMAX FILIAL CRUZ'!S29," ")</f>
        <v>451.21</v>
      </c>
      <c r="P35" s="43">
        <f>IF(A35&lt;0,'CAR PROMAX FILIAL CRUZ'!T29," ")</f>
        <v>451.21</v>
      </c>
      <c r="Q35" s="37">
        <f>IF(A35&lt;0,'CAR PROMAX FILIAL CRUZ'!U29," ")</f>
        <v>474.06</v>
      </c>
      <c r="R35" s="34">
        <f>IF(A35&lt;0,'CAR PROMAX FILIAL CRUZ'!V29," ")</f>
        <v>3612009131</v>
      </c>
      <c r="T35" s="21"/>
      <c r="U35" s="17"/>
    </row>
    <row r="36" spans="1:21" s="32" customFormat="1" x14ac:dyDescent="0.25">
      <c r="A36" s="32">
        <f>'CAR PROMAX FILIAL CRUZ'!O30</f>
        <v>-1</v>
      </c>
      <c r="B36" s="15" t="str">
        <f t="shared" si="0"/>
        <v>INAD.</v>
      </c>
      <c r="C36" s="33" t="str">
        <f t="shared" si="1"/>
        <v>RN</v>
      </c>
      <c r="D36" s="34">
        <f>IF(A36&lt;0,'CAR PROMAX FILIAL CRUZ'!B30," ")</f>
        <v>3459</v>
      </c>
      <c r="E36" s="40" t="str">
        <f>IF(A36&lt;0,'CAR PROMAX FILIAL CRUZ'!C30," ")</f>
        <v xml:space="preserve">MERCADINHO MINI PREC                    </v>
      </c>
      <c r="F36" s="41">
        <f>IF(A36&lt;0,'CAR PROMAX FILIAL CRUZ'!D30," ")</f>
        <v>2</v>
      </c>
      <c r="G36" s="41">
        <f>IF(A36&lt;0,'CAR PROMAX FILIAL CRUZ'!E30," ")</f>
        <v>95096</v>
      </c>
      <c r="H36" s="41">
        <f>IF(A36&lt;0,'CAR PROMAX FILIAL CRUZ'!J30," ")</f>
        <v>104</v>
      </c>
      <c r="I36" s="15" t="str">
        <f>_xlfn.XLOOKUP(H36,'RN - SETORES'!A:A,'RN - SETORES'!B:B)</f>
        <v>Neto</v>
      </c>
      <c r="J36" s="15" t="str">
        <f>_xlfn.XLOOKUP(C36,'GV - SETORES'!D:D,'GV - SETORES'!E:E,IF(K36&gt;=-45,_xlfn.XLOOKUP(H36,'GV - SETORES'!A:A,'GV - SETORES'!B:B)))</f>
        <v>Fredson</v>
      </c>
      <c r="K36" s="41">
        <f>IF(A36&lt;0,'CAR PROMAX FILIAL CRUZ'!O30," ")</f>
        <v>-1</v>
      </c>
      <c r="L36" s="42">
        <f>IF(A36&lt;0,'CAR PROMAX FILIAL CRUZ'!P30," ")</f>
        <v>46127</v>
      </c>
      <c r="M36" s="42">
        <f>IF(A36&lt;0,'CAR PROMAX FILIAL CRUZ'!Q30," ")</f>
        <v>46128</v>
      </c>
      <c r="N36" s="42">
        <f>IF(A36&lt;0,'CAR PROMAX FILIAL CRUZ'!R30," ")</f>
        <v>46135</v>
      </c>
      <c r="O36" s="43">
        <f>IF(A36&lt;0,'CAR PROMAX FILIAL CRUZ'!S30," ")</f>
        <v>336.22</v>
      </c>
      <c r="P36" s="43">
        <f>IF(A36&lt;0,'CAR PROMAX FILIAL CRUZ'!T30," ")</f>
        <v>336.22</v>
      </c>
      <c r="Q36" s="37">
        <f>IF(A36&lt;0,'CAR PROMAX FILIAL CRUZ'!U30," ")</f>
        <v>353.25</v>
      </c>
      <c r="R36" s="34">
        <f>IF(A36&lt;0,'CAR PROMAX FILIAL CRUZ'!V30," ")</f>
        <v>3612009142</v>
      </c>
      <c r="T36" s="36"/>
      <c r="U36" s="17"/>
    </row>
    <row r="37" spans="1:21" s="32" customFormat="1" x14ac:dyDescent="0.25">
      <c r="A37" s="32">
        <f>'CAR PROMAX FILIAL CRUZ'!O31</f>
        <v>0</v>
      </c>
      <c r="B37" s="15" t="str">
        <f t="shared" si="0"/>
        <v xml:space="preserve"> </v>
      </c>
      <c r="C37" s="33" t="str">
        <f t="shared" si="1"/>
        <v xml:space="preserve"> </v>
      </c>
      <c r="D37" s="34" t="str">
        <f>IF(A37&lt;0,'CAR PROMAX FILIAL CRUZ'!B31," ")</f>
        <v xml:space="preserve"> </v>
      </c>
      <c r="E37" s="40" t="str">
        <f>IF(A37&lt;0,'CAR PROMAX FILIAL CRUZ'!C31," ")</f>
        <v xml:space="preserve"> </v>
      </c>
      <c r="F37" s="41" t="str">
        <f>IF(A37&lt;0,'CAR PROMAX FILIAL CRUZ'!D31," ")</f>
        <v xml:space="preserve"> </v>
      </c>
      <c r="G37" s="41" t="str">
        <f>IF(A37&lt;0,'CAR PROMAX FILIAL CRUZ'!E31," ")</f>
        <v xml:space="preserve"> </v>
      </c>
      <c r="H37" s="41" t="str">
        <f>IF(A37&lt;0,'CAR PROMAX FILIAL CRUZ'!J31," ")</f>
        <v xml:space="preserve"> </v>
      </c>
      <c r="I37" s="15"/>
      <c r="J37" s="15"/>
      <c r="K37" s="41" t="str">
        <f>IF(A37&lt;0,'CAR PROMAX FILIAL CRUZ'!O31," ")</f>
        <v xml:space="preserve"> </v>
      </c>
      <c r="L37" s="42" t="str">
        <f>IF(A37&lt;0,'CAR PROMAX FILIAL CRUZ'!P31," ")</f>
        <v xml:space="preserve"> </v>
      </c>
      <c r="M37" s="42" t="str">
        <f>IF(A37&lt;0,'CAR PROMAX FILIAL CRUZ'!Q31," ")</f>
        <v xml:space="preserve"> </v>
      </c>
      <c r="N37" s="42" t="str">
        <f>IF(A37&lt;0,'CAR PROMAX FILIAL CRUZ'!R31," ")</f>
        <v xml:space="preserve"> </v>
      </c>
      <c r="O37" s="43" t="str">
        <f>IF(A37&lt;0,'CAR PROMAX FILIAL CRUZ'!S31," ")</f>
        <v xml:space="preserve"> </v>
      </c>
      <c r="P37" s="43" t="str">
        <f>IF(A37&lt;0,'CAR PROMAX FILIAL CRUZ'!T31," ")</f>
        <v xml:space="preserve"> </v>
      </c>
      <c r="Q37" s="37" t="str">
        <f>IF(A37&lt;0,'CAR PROMAX FILIAL CRUZ'!U31," ")</f>
        <v xml:space="preserve"> </v>
      </c>
      <c r="R37" s="34" t="str">
        <f>IF(A37&lt;0,'CAR PROMAX FILIAL CRUZ'!V31," ")</f>
        <v xml:space="preserve"> </v>
      </c>
      <c r="T37" s="36"/>
      <c r="U37" s="17"/>
    </row>
    <row r="38" spans="1:21" s="32" customFormat="1" x14ac:dyDescent="0.25">
      <c r="A38" s="32">
        <f>'CAR PROMAX FILIAL CRUZ'!O32</f>
        <v>0</v>
      </c>
      <c r="B38" s="15" t="str">
        <f t="shared" si="0"/>
        <v xml:space="preserve"> </v>
      </c>
      <c r="C38" s="33" t="str">
        <f t="shared" si="1"/>
        <v xml:space="preserve"> </v>
      </c>
      <c r="D38" s="34" t="str">
        <f>IF(A38&lt;0,'CAR PROMAX FILIAL CRUZ'!B32," ")</f>
        <v xml:space="preserve"> </v>
      </c>
      <c r="E38" s="35" t="str">
        <f>IF(A38&lt;0,'CAR PROMAX FILIAL CRUZ'!C32," ")</f>
        <v xml:space="preserve"> </v>
      </c>
      <c r="F38" s="34" t="str">
        <f>IF(A38&lt;0,'CAR PROMAX FILIAL CRUZ'!D32," ")</f>
        <v xml:space="preserve"> </v>
      </c>
      <c r="G38" s="34" t="str">
        <f>IF(A38&lt;0,'CAR PROMAX FILIAL CRUZ'!E32," ")</f>
        <v xml:space="preserve"> </v>
      </c>
      <c r="H38" s="34" t="str">
        <f>IF(A38&lt;0,'CAR PROMAX FILIAL CRUZ'!J32," ")</f>
        <v xml:space="preserve"> </v>
      </c>
      <c r="I38" s="15"/>
      <c r="J38" s="15"/>
      <c r="K38" s="34" t="str">
        <f>IF(A38&lt;0,'CAR PROMAX FILIAL CRUZ'!O32," ")</f>
        <v xml:space="preserve"> </v>
      </c>
      <c r="L38" s="36" t="str">
        <f>IF(A38&lt;0,'CAR PROMAX FILIAL CRUZ'!P32," ")</f>
        <v xml:space="preserve"> </v>
      </c>
      <c r="M38" s="36" t="str">
        <f>IF(A38&lt;0,'CAR PROMAX FILIAL CRUZ'!Q32," ")</f>
        <v xml:space="preserve"> </v>
      </c>
      <c r="N38" s="36" t="str">
        <f>IF(A38&lt;0,'CAR PROMAX FILIAL CRUZ'!R32," ")</f>
        <v xml:space="preserve"> </v>
      </c>
      <c r="O38" s="37" t="str">
        <f>IF(A38&lt;0,'CAR PROMAX FILIAL CRUZ'!S32," ")</f>
        <v xml:space="preserve"> </v>
      </c>
      <c r="P38" s="37" t="str">
        <f>IF(A38&lt;0,'CAR PROMAX FILIAL CRUZ'!T32," ")</f>
        <v xml:space="preserve"> </v>
      </c>
      <c r="Q38" s="37" t="str">
        <f>IF(A38&lt;0,'CAR PROMAX FILIAL CRUZ'!U32," ")</f>
        <v xml:space="preserve"> </v>
      </c>
      <c r="R38" s="34" t="str">
        <f>IF(A38&lt;0,'CAR PROMAX FILIAL CRUZ'!V32," ")</f>
        <v xml:space="preserve"> </v>
      </c>
      <c r="T38" s="36"/>
      <c r="U38" s="17"/>
    </row>
    <row r="39" spans="1:21" s="32" customFormat="1" x14ac:dyDescent="0.25">
      <c r="A39" s="32">
        <f>'CAR PROMAX FILIAL CRUZ'!O33</f>
        <v>0</v>
      </c>
      <c r="B39" s="15" t="str">
        <f t="shared" si="0"/>
        <v xml:space="preserve"> </v>
      </c>
      <c r="C39" s="33" t="str">
        <f t="shared" si="1"/>
        <v xml:space="preserve"> </v>
      </c>
      <c r="D39" s="34" t="str">
        <f>IF(A39&lt;0,'CAR PROMAX FILIAL CRUZ'!B33," ")</f>
        <v xml:space="preserve"> </v>
      </c>
      <c r="E39" s="35" t="str">
        <f>IF(A39&lt;0,'CAR PROMAX FILIAL CRUZ'!C33," ")</f>
        <v xml:space="preserve"> </v>
      </c>
      <c r="F39" s="34" t="str">
        <f>IF(A39&lt;0,'CAR PROMAX FILIAL CRUZ'!D33," ")</f>
        <v xml:space="preserve"> </v>
      </c>
      <c r="G39" s="34" t="str">
        <f>IF(A39&lt;0,'CAR PROMAX FILIAL CRUZ'!E33," ")</f>
        <v xml:space="preserve"> </v>
      </c>
      <c r="H39" s="34" t="str">
        <f>IF(A39&lt;0,'CAR PROMAX FILIAL CRUZ'!J33," ")</f>
        <v xml:space="preserve"> </v>
      </c>
      <c r="I39" s="15"/>
      <c r="J39" s="15"/>
      <c r="K39" s="34" t="str">
        <f>IF(A39&lt;0,'CAR PROMAX FILIAL CRUZ'!O33," ")</f>
        <v xml:space="preserve"> </v>
      </c>
      <c r="L39" s="36" t="str">
        <f>IF(A39&lt;0,'CAR PROMAX FILIAL CRUZ'!P33," ")</f>
        <v xml:space="preserve"> </v>
      </c>
      <c r="M39" s="36" t="str">
        <f>IF(A39&lt;0,'CAR PROMAX FILIAL CRUZ'!Q33," ")</f>
        <v xml:space="preserve"> </v>
      </c>
      <c r="N39" s="36" t="str">
        <f>IF(A39&lt;0,'CAR PROMAX FILIAL CRUZ'!R33," ")</f>
        <v xml:space="preserve"> </v>
      </c>
      <c r="O39" s="37" t="str">
        <f>IF(A39&lt;0,'CAR PROMAX FILIAL CRUZ'!S33," ")</f>
        <v xml:space="preserve"> </v>
      </c>
      <c r="P39" s="37" t="str">
        <f>IF(A39&lt;0,'CAR PROMAX FILIAL CRUZ'!T33," ")</f>
        <v xml:space="preserve"> </v>
      </c>
      <c r="Q39" s="37" t="str">
        <f>IF(A39&lt;0,'CAR PROMAX FILIAL CRUZ'!U33," ")</f>
        <v xml:space="preserve"> </v>
      </c>
      <c r="R39" s="34" t="str">
        <f>IF(A39&lt;0,'CAR PROMAX FILIAL CRUZ'!V33," ")</f>
        <v xml:space="preserve"> </v>
      </c>
      <c r="T39" s="36"/>
      <c r="U39" s="17"/>
    </row>
    <row r="40" spans="1:21" s="39" customFormat="1" x14ac:dyDescent="0.25">
      <c r="A40" s="39">
        <f>'CAR PROMAX FILIAL CRUZ'!O34</f>
        <v>0</v>
      </c>
      <c r="B40" s="15" t="str">
        <f t="shared" ref="B40:B71" si="2">IF(K40&lt;0,IF(K40&gt;-31,"INAD.",IF(K40&gt;-76,"IREC.","PDD"))," ")</f>
        <v xml:space="preserve"> </v>
      </c>
      <c r="C40" s="33" t="str">
        <f t="shared" si="1"/>
        <v xml:space="preserve"> </v>
      </c>
      <c r="D40" s="34" t="str">
        <f>IF(A40&lt;0,'CAR PROMAX FILIAL CRUZ'!B34," ")</f>
        <v xml:space="preserve"> </v>
      </c>
      <c r="E40" s="35" t="str">
        <f>IF(A40&lt;0,'CAR PROMAX FILIAL CRUZ'!C34," ")</f>
        <v xml:space="preserve"> </v>
      </c>
      <c r="F40" s="34" t="str">
        <f>IF(A40&lt;0,'CAR PROMAX FILIAL CRUZ'!D34," ")</f>
        <v xml:space="preserve"> </v>
      </c>
      <c r="G40" s="34" t="str">
        <f>IF(A40&lt;0,'CAR PROMAX FILIAL CRUZ'!E34," ")</f>
        <v xml:space="preserve"> </v>
      </c>
      <c r="H40" s="34" t="str">
        <f>IF(A40&lt;0,'CAR PROMAX FILIAL CRUZ'!J34," ")</f>
        <v xml:space="preserve"> </v>
      </c>
      <c r="I40" s="15"/>
      <c r="J40" s="15"/>
      <c r="K40" s="34" t="str">
        <f>IF(A40&lt;0,'CAR PROMAX FILIAL CRUZ'!O34," ")</f>
        <v xml:space="preserve"> </v>
      </c>
      <c r="L40" s="36" t="str">
        <f>IF(A40&lt;0,'CAR PROMAX FILIAL CRUZ'!P34," ")</f>
        <v xml:space="preserve"> </v>
      </c>
      <c r="M40" s="36" t="str">
        <f>IF(A40&lt;0,'CAR PROMAX FILIAL CRUZ'!Q34," ")</f>
        <v xml:space="preserve"> </v>
      </c>
      <c r="N40" s="36" t="str">
        <f>IF(A40&lt;0,'CAR PROMAX FILIAL CRUZ'!R34," ")</f>
        <v xml:space="preserve"> </v>
      </c>
      <c r="O40" s="37" t="str">
        <f>IF(A40&lt;0,'CAR PROMAX FILIAL CRUZ'!S34," ")</f>
        <v xml:space="preserve"> </v>
      </c>
      <c r="P40" s="37" t="str">
        <f>IF(A40&lt;0,'CAR PROMAX FILIAL CRUZ'!T34," ")</f>
        <v xml:space="preserve"> </v>
      </c>
      <c r="Q40" s="37" t="str">
        <f>IF(A40&lt;0,'CAR PROMAX FILIAL CRUZ'!U34," ")</f>
        <v xml:space="preserve"> </v>
      </c>
      <c r="R40" s="34" t="str">
        <f>IF(A40&lt;0,'CAR PROMAX FILIAL CRUZ'!V34," ")</f>
        <v xml:space="preserve"> </v>
      </c>
      <c r="T40" s="36"/>
      <c r="U40" s="17"/>
    </row>
    <row r="41" spans="1:21" s="39" customFormat="1" x14ac:dyDescent="0.25">
      <c r="A41" s="39">
        <f>'CAR PROMAX FILIAL CRUZ'!O35</f>
        <v>0</v>
      </c>
      <c r="B41" s="15" t="str">
        <f t="shared" si="2"/>
        <v xml:space="preserve"> </v>
      </c>
      <c r="C41" s="33" t="str">
        <f t="shared" si="1"/>
        <v xml:space="preserve"> </v>
      </c>
      <c r="D41" s="34" t="str">
        <f>IF(A41&lt;0,'CAR PROMAX FILIAL CRUZ'!B35," ")</f>
        <v xml:space="preserve"> </v>
      </c>
      <c r="E41" s="35" t="str">
        <f>IF(A41&lt;0,'CAR PROMAX FILIAL CRUZ'!C35," ")</f>
        <v xml:space="preserve"> </v>
      </c>
      <c r="F41" s="34" t="str">
        <f>IF(A41&lt;0,'CAR PROMAX FILIAL CRUZ'!D35," ")</f>
        <v xml:space="preserve"> </v>
      </c>
      <c r="G41" s="34" t="str">
        <f>IF(A41&lt;0,'CAR PROMAX FILIAL CRUZ'!E35," ")</f>
        <v xml:space="preserve"> </v>
      </c>
      <c r="H41" s="34" t="str">
        <f>IF(A41&lt;0,'CAR PROMAX FILIAL CRUZ'!J35," ")</f>
        <v xml:space="preserve"> </v>
      </c>
      <c r="I41" s="15"/>
      <c r="J41" s="15"/>
      <c r="K41" s="34" t="str">
        <f>IF(A41&lt;0,'CAR PROMAX FILIAL CRUZ'!O35," ")</f>
        <v xml:space="preserve"> </v>
      </c>
      <c r="L41" s="36" t="str">
        <f>IF(A41&lt;0,'CAR PROMAX FILIAL CRUZ'!P35," ")</f>
        <v xml:space="preserve"> </v>
      </c>
      <c r="M41" s="36" t="str">
        <f>IF(A41&lt;0,'CAR PROMAX FILIAL CRUZ'!Q35," ")</f>
        <v xml:space="preserve"> </v>
      </c>
      <c r="N41" s="36" t="str">
        <f>IF(A41&lt;0,'CAR PROMAX FILIAL CRUZ'!R35," ")</f>
        <v xml:space="preserve"> </v>
      </c>
      <c r="O41" s="37" t="str">
        <f>IF(A41&lt;0,'CAR PROMAX FILIAL CRUZ'!S35," ")</f>
        <v xml:space="preserve"> </v>
      </c>
      <c r="P41" s="37" t="str">
        <f>IF(A41&lt;0,'CAR PROMAX FILIAL CRUZ'!T35," ")</f>
        <v xml:space="preserve"> </v>
      </c>
      <c r="Q41" s="37" t="str">
        <f>IF(A41&lt;0,'CAR PROMAX FILIAL CRUZ'!U35," ")</f>
        <v xml:space="preserve"> </v>
      </c>
      <c r="R41" s="34" t="str">
        <f>IF(A41&lt;0,'CAR PROMAX FILIAL CRUZ'!V35," ")</f>
        <v xml:space="preserve"> </v>
      </c>
      <c r="T41" s="36"/>
      <c r="U41" s="17"/>
    </row>
    <row r="42" spans="1:21" x14ac:dyDescent="0.25">
      <c r="A42">
        <f>'CAR PROMAX FILIAL CRUZ'!O36</f>
        <v>0</v>
      </c>
      <c r="B42" s="15" t="str">
        <f t="shared" si="2"/>
        <v xml:space="preserve"> </v>
      </c>
      <c r="C42" s="15" t="str">
        <f t="shared" si="1"/>
        <v xml:space="preserve"> </v>
      </c>
      <c r="D42" s="19" t="str">
        <f>IF(A42&lt;0,'CAR PROMAX FILIAL CRUZ'!B36," ")</f>
        <v xml:space="preserve"> </v>
      </c>
      <c r="E42" s="20" t="str">
        <f>IF(A42&lt;0,'CAR PROMAX FILIAL CRUZ'!C36," ")</f>
        <v xml:space="preserve"> </v>
      </c>
      <c r="F42" s="19" t="str">
        <f>IF(A42&lt;0,'CAR PROMAX FILIAL CRUZ'!D36," ")</f>
        <v xml:space="preserve"> </v>
      </c>
      <c r="G42" s="19" t="str">
        <f>IF(A42&lt;0,'CAR PROMAX FILIAL CRUZ'!E36," ")</f>
        <v xml:space="preserve"> </v>
      </c>
      <c r="H42" s="19" t="str">
        <f>IF(A42&lt;0,'CAR PROMAX FILIAL CRUZ'!J36," ")</f>
        <v xml:space="preserve"> </v>
      </c>
      <c r="I42" s="15"/>
      <c r="J42" s="15"/>
      <c r="K42" s="19" t="str">
        <f>IF(A42&lt;0,'CAR PROMAX FILIAL CRUZ'!O36," ")</f>
        <v xml:space="preserve"> </v>
      </c>
      <c r="L42" s="21" t="str">
        <f>IF(A42&lt;0,'CAR PROMAX FILIAL CRUZ'!P36," ")</f>
        <v xml:space="preserve"> </v>
      </c>
      <c r="M42" s="21" t="str">
        <f>IF(A42&lt;0,'CAR PROMAX FILIAL CRUZ'!Q36," ")</f>
        <v xml:space="preserve"> </v>
      </c>
      <c r="N42" s="21" t="str">
        <f>IF(A42&lt;0,'CAR PROMAX FILIAL CRUZ'!R36," ")</f>
        <v xml:space="preserve"> </v>
      </c>
      <c r="O42" s="22" t="str">
        <f>IF(A42&lt;0,'CAR PROMAX FILIAL CRUZ'!S36," ")</f>
        <v xml:space="preserve"> </v>
      </c>
      <c r="P42" s="22" t="str">
        <f>IF(A42&lt;0,'CAR PROMAX FILIAL CRUZ'!T36," ")</f>
        <v xml:space="preserve"> </v>
      </c>
      <c r="Q42" s="22" t="str">
        <f>IF(A42&lt;0,'CAR PROMAX FILIAL CRUZ'!U36," ")</f>
        <v xml:space="preserve"> </v>
      </c>
      <c r="R42" s="19" t="str">
        <f>IF(A42&lt;0,'CAR PROMAX FILIAL CRUZ'!V36," ")</f>
        <v xml:space="preserve"> </v>
      </c>
      <c r="T42" s="36"/>
      <c r="U42" s="21"/>
    </row>
    <row r="43" spans="1:21" x14ac:dyDescent="0.25">
      <c r="A43">
        <f>'CAR PROMAX FILIAL CRUZ'!O37</f>
        <v>0</v>
      </c>
      <c r="B43" s="15" t="str">
        <f t="shared" si="2"/>
        <v xml:space="preserve"> </v>
      </c>
      <c r="C43" s="15" t="str">
        <f t="shared" si="1"/>
        <v xml:space="preserve"> </v>
      </c>
      <c r="D43" s="19" t="str">
        <f>IF(A43&lt;0,'CAR PROMAX FILIAL CRUZ'!B37," ")</f>
        <v xml:space="preserve"> </v>
      </c>
      <c r="E43" s="20" t="str">
        <f>IF(A43&lt;0,'CAR PROMAX FILIAL CRUZ'!C37," ")</f>
        <v xml:space="preserve"> </v>
      </c>
      <c r="F43" s="19" t="str">
        <f>IF(A43&lt;0,'CAR PROMAX FILIAL CRUZ'!D37," ")</f>
        <v xml:space="preserve"> </v>
      </c>
      <c r="G43" s="19" t="str">
        <f>IF(A43&lt;0,'CAR PROMAX FILIAL CRUZ'!E37," ")</f>
        <v xml:space="preserve"> </v>
      </c>
      <c r="H43" s="19" t="str">
        <f>IF(A43&lt;0,'CAR PROMAX FILIAL CRUZ'!J37," ")</f>
        <v xml:space="preserve"> </v>
      </c>
      <c r="I43" s="15"/>
      <c r="J43" s="15"/>
      <c r="K43" s="19" t="str">
        <f>IF(A43&lt;0,'CAR PROMAX FILIAL CRUZ'!O37," ")</f>
        <v xml:space="preserve"> </v>
      </c>
      <c r="L43" s="21" t="str">
        <f>IF(A43&lt;0,'CAR PROMAX FILIAL CRUZ'!P37," ")</f>
        <v xml:space="preserve"> </v>
      </c>
      <c r="M43" s="21" t="str">
        <f>IF(A43&lt;0,'CAR PROMAX FILIAL CRUZ'!Q37," ")</f>
        <v xml:space="preserve"> </v>
      </c>
      <c r="N43" s="21" t="str">
        <f>IF(A43&lt;0,'CAR PROMAX FILIAL CRUZ'!R37," ")</f>
        <v xml:space="preserve"> </v>
      </c>
      <c r="O43" s="22" t="str">
        <f>IF(A43&lt;0,'CAR PROMAX FILIAL CRUZ'!S37," ")</f>
        <v xml:space="preserve"> </v>
      </c>
      <c r="P43" s="22" t="str">
        <f>IF(A43&lt;0,'CAR PROMAX FILIAL CRUZ'!T37," ")</f>
        <v xml:space="preserve"> </v>
      </c>
      <c r="Q43" s="22" t="str">
        <f>IF(A43&lt;0,'CAR PROMAX FILIAL CRUZ'!U37," ")</f>
        <v xml:space="preserve"> </v>
      </c>
      <c r="R43" s="19" t="str">
        <f>IF(A43&lt;0,'CAR PROMAX FILIAL CRUZ'!V37," ")</f>
        <v xml:space="preserve"> </v>
      </c>
      <c r="T43" s="36"/>
      <c r="U43" s="21"/>
    </row>
    <row r="44" spans="1:21" s="39" customFormat="1" x14ac:dyDescent="0.25">
      <c r="A44" s="39">
        <f>'CAR PROMAX FILIAL CRUZ'!O38</f>
        <v>0</v>
      </c>
      <c r="B44" s="33" t="str">
        <f t="shared" si="2"/>
        <v xml:space="preserve"> </v>
      </c>
      <c r="C44" s="33" t="str">
        <f t="shared" si="1"/>
        <v xml:space="preserve"> </v>
      </c>
      <c r="D44" s="34" t="str">
        <f>IF(A44&lt;0,'CAR PROMAX FILIAL CRUZ'!B38," ")</f>
        <v xml:space="preserve"> </v>
      </c>
      <c r="E44" s="35" t="str">
        <f>IF(A44&lt;0,'CAR PROMAX FILIAL CRUZ'!C38," ")</f>
        <v xml:space="preserve"> </v>
      </c>
      <c r="F44" s="34" t="str">
        <f>IF(A44&lt;0,'CAR PROMAX FILIAL CRUZ'!D38," ")</f>
        <v xml:space="preserve"> </v>
      </c>
      <c r="G44" s="34" t="str">
        <f>IF(A44&lt;0,'CAR PROMAX FILIAL CRUZ'!E38," ")</f>
        <v xml:space="preserve"> </v>
      </c>
      <c r="H44" s="34" t="str">
        <f>IF(A44&lt;0,'CAR PROMAX FILIAL CRUZ'!J38," ")</f>
        <v xml:space="preserve"> </v>
      </c>
      <c r="I44" s="15"/>
      <c r="J44" s="15"/>
      <c r="K44" s="34" t="str">
        <f>IF(A44&lt;0,'CAR PROMAX FILIAL CRUZ'!O38," ")</f>
        <v xml:space="preserve"> </v>
      </c>
      <c r="L44" s="36" t="str">
        <f>IF(A44&lt;0,'CAR PROMAX FILIAL CRUZ'!P38," ")</f>
        <v xml:space="preserve"> </v>
      </c>
      <c r="M44" s="36" t="str">
        <f>IF(A44&lt;0,'CAR PROMAX FILIAL CRUZ'!Q38," ")</f>
        <v xml:space="preserve"> </v>
      </c>
      <c r="N44" s="36" t="str">
        <f>IF(A44&lt;0,'CAR PROMAX FILIAL CRUZ'!R38," ")</f>
        <v xml:space="preserve"> </v>
      </c>
      <c r="O44" s="37" t="str">
        <f>IF(A44&lt;0,'CAR PROMAX FILIAL CRUZ'!S38," ")</f>
        <v xml:space="preserve"> </v>
      </c>
      <c r="P44" s="37" t="str">
        <f>IF(A44&lt;0,'CAR PROMAX FILIAL CRUZ'!T38," ")</f>
        <v xml:space="preserve"> </v>
      </c>
      <c r="Q44" s="37" t="str">
        <f>IF(A44&lt;0,'CAR PROMAX FILIAL CRUZ'!U38," ")</f>
        <v xml:space="preserve"> </v>
      </c>
      <c r="R44" s="34" t="str">
        <f>IF(A44&lt;0,'CAR PROMAX FILIAL CRUZ'!V38," ")</f>
        <v xml:space="preserve"> </v>
      </c>
      <c r="T44" s="36"/>
      <c r="U44" s="21"/>
    </row>
    <row r="45" spans="1:21" s="39" customFormat="1" x14ac:dyDescent="0.25">
      <c r="A45" s="39">
        <f>'CAR PROMAX FILIAL CRUZ'!O39</f>
        <v>0</v>
      </c>
      <c r="B45" s="33" t="str">
        <f t="shared" si="2"/>
        <v xml:space="preserve"> </v>
      </c>
      <c r="C45" s="33" t="str">
        <f t="shared" si="1"/>
        <v xml:space="preserve"> </v>
      </c>
      <c r="D45" s="34" t="str">
        <f>IF(A45&lt;0,'CAR PROMAX FILIAL CRUZ'!B39," ")</f>
        <v xml:space="preserve"> </v>
      </c>
      <c r="E45" s="35" t="str">
        <f>IF(A45&lt;0,'CAR PROMAX FILIAL CRUZ'!C39," ")</f>
        <v xml:space="preserve"> </v>
      </c>
      <c r="F45" s="34" t="str">
        <f>IF(A45&lt;0,'CAR PROMAX FILIAL CRUZ'!D39," ")</f>
        <v xml:space="preserve"> </v>
      </c>
      <c r="G45" s="34" t="str">
        <f>IF(A45&lt;0,'CAR PROMAX FILIAL CRUZ'!E39," ")</f>
        <v xml:space="preserve"> </v>
      </c>
      <c r="H45" s="34" t="str">
        <f>IF(A45&lt;0,'CAR PROMAX FILIAL CRUZ'!J39," ")</f>
        <v xml:space="preserve"> </v>
      </c>
      <c r="I45" s="15"/>
      <c r="J45" s="15"/>
      <c r="K45" s="34" t="str">
        <f>IF(A45&lt;0,'CAR PROMAX FILIAL CRUZ'!O39," ")</f>
        <v xml:space="preserve"> </v>
      </c>
      <c r="L45" s="36" t="str">
        <f>IF(A45&lt;0,'CAR PROMAX FILIAL CRUZ'!P39," ")</f>
        <v xml:space="preserve"> </v>
      </c>
      <c r="M45" s="36" t="str">
        <f>IF(A45&lt;0,'CAR PROMAX FILIAL CRUZ'!Q39," ")</f>
        <v xml:space="preserve"> </v>
      </c>
      <c r="N45" s="36" t="str">
        <f>IF(A45&lt;0,'CAR PROMAX FILIAL CRUZ'!R39," ")</f>
        <v xml:space="preserve"> </v>
      </c>
      <c r="O45" s="37" t="str">
        <f>IF(A45&lt;0,'CAR PROMAX FILIAL CRUZ'!S39," ")</f>
        <v xml:space="preserve"> </v>
      </c>
      <c r="P45" s="37" t="str">
        <f>IF(A45&lt;0,'CAR PROMAX FILIAL CRUZ'!T39," ")</f>
        <v xml:space="preserve"> </v>
      </c>
      <c r="Q45" s="37" t="str">
        <f>IF(A45&lt;0,'CAR PROMAX FILIAL CRUZ'!U39," ")</f>
        <v xml:space="preserve"> </v>
      </c>
      <c r="R45" s="34" t="str">
        <f>IF(A45&lt;0,'CAR PROMAX FILIAL CRUZ'!V39," ")</f>
        <v xml:space="preserve"> </v>
      </c>
      <c r="T45" s="36"/>
      <c r="U45" s="21"/>
    </row>
    <row r="46" spans="1:21" s="39" customFormat="1" x14ac:dyDescent="0.25">
      <c r="A46" s="39">
        <f>'CAR PROMAX FILIAL CRUZ'!O40</f>
        <v>0</v>
      </c>
      <c r="B46" s="33" t="str">
        <f t="shared" si="2"/>
        <v xml:space="preserve"> </v>
      </c>
      <c r="C46" s="33" t="str">
        <f t="shared" si="1"/>
        <v xml:space="preserve"> </v>
      </c>
      <c r="D46" s="34" t="str">
        <f>IF(A46&lt;0,'CAR PROMAX FILIAL CRUZ'!B40," ")</f>
        <v xml:space="preserve"> </v>
      </c>
      <c r="E46" s="35" t="str">
        <f>IF(A46&lt;0,'CAR PROMAX FILIAL CRUZ'!C40," ")</f>
        <v xml:space="preserve"> </v>
      </c>
      <c r="F46" s="34" t="str">
        <f>IF(A46&lt;0,'CAR PROMAX FILIAL CRUZ'!D40," ")</f>
        <v xml:space="preserve"> </v>
      </c>
      <c r="G46" s="34" t="str">
        <f>IF(A46&lt;0,'CAR PROMAX FILIAL CRUZ'!E40," ")</f>
        <v xml:space="preserve"> </v>
      </c>
      <c r="H46" s="34" t="str">
        <f>IF(A46&lt;0,'CAR PROMAX FILIAL CRUZ'!J40," ")</f>
        <v xml:space="preserve"> </v>
      </c>
      <c r="I46" s="15"/>
      <c r="J46" s="15"/>
      <c r="K46" s="34" t="str">
        <f>IF(A46&lt;0,'CAR PROMAX FILIAL CRUZ'!O40," ")</f>
        <v xml:space="preserve"> </v>
      </c>
      <c r="L46" s="36" t="str">
        <f>IF(A46&lt;0,'CAR PROMAX FILIAL CRUZ'!P40," ")</f>
        <v xml:space="preserve"> </v>
      </c>
      <c r="M46" s="36" t="str">
        <f>IF(A46&lt;0,'CAR PROMAX FILIAL CRUZ'!Q40," ")</f>
        <v xml:space="preserve"> </v>
      </c>
      <c r="N46" s="36" t="str">
        <f>IF(A46&lt;0,'CAR PROMAX FILIAL CRUZ'!R40," ")</f>
        <v xml:space="preserve"> </v>
      </c>
      <c r="O46" s="37" t="str">
        <f>IF(A46&lt;0,'CAR PROMAX FILIAL CRUZ'!S40," ")</f>
        <v xml:space="preserve"> </v>
      </c>
      <c r="P46" s="37" t="str">
        <f>IF(A46&lt;0,'CAR PROMAX FILIAL CRUZ'!T40," ")</f>
        <v xml:space="preserve"> </v>
      </c>
      <c r="Q46" s="37" t="str">
        <f>IF(A46&lt;0,'CAR PROMAX FILIAL CRUZ'!U40," ")</f>
        <v xml:space="preserve"> </v>
      </c>
      <c r="R46" s="34" t="str">
        <f>IF(A46&lt;0,'CAR PROMAX FILIAL CRUZ'!V40," ")</f>
        <v xml:space="preserve"> </v>
      </c>
      <c r="T46" s="36"/>
      <c r="U46" s="17"/>
    </row>
    <row r="47" spans="1:21" s="39" customFormat="1" x14ac:dyDescent="0.25">
      <c r="A47" s="39">
        <f>'CAR PROMAX FILIAL CRUZ'!O41</f>
        <v>0</v>
      </c>
      <c r="B47" s="33" t="str">
        <f t="shared" si="2"/>
        <v xml:space="preserve"> </v>
      </c>
      <c r="C47" s="33" t="str">
        <f t="shared" si="1"/>
        <v xml:space="preserve"> </v>
      </c>
      <c r="D47" s="34" t="str">
        <f>IF(A47&lt;0,'CAR PROMAX FILIAL CRUZ'!B41," ")</f>
        <v xml:space="preserve"> </v>
      </c>
      <c r="E47" s="35" t="str">
        <f>IF(A47&lt;0,'CAR PROMAX FILIAL CRUZ'!C41," ")</f>
        <v xml:space="preserve"> </v>
      </c>
      <c r="F47" s="34" t="str">
        <f>IF(A47&lt;0,'CAR PROMAX FILIAL CRUZ'!D41," ")</f>
        <v xml:space="preserve"> </v>
      </c>
      <c r="G47" s="34" t="str">
        <f>IF(A47&lt;0,'CAR PROMAX FILIAL CRUZ'!E41," ")</f>
        <v xml:space="preserve"> </v>
      </c>
      <c r="H47" s="34" t="str">
        <f>IF(A47&lt;0,'CAR PROMAX FILIAL CRUZ'!J41," ")</f>
        <v xml:space="preserve"> </v>
      </c>
      <c r="I47" s="15"/>
      <c r="J47" s="15"/>
      <c r="K47" s="34" t="str">
        <f>IF(A47&lt;0,'CAR PROMAX FILIAL CRUZ'!O41," ")</f>
        <v xml:space="preserve"> </v>
      </c>
      <c r="L47" s="36" t="str">
        <f>IF(A47&lt;0,'CAR PROMAX FILIAL CRUZ'!P41," ")</f>
        <v xml:space="preserve"> </v>
      </c>
      <c r="M47" s="36" t="str">
        <f>IF(A47&lt;0,'CAR PROMAX FILIAL CRUZ'!Q41," ")</f>
        <v xml:space="preserve"> </v>
      </c>
      <c r="N47" s="36" t="str">
        <f>IF(A47&lt;0,'CAR PROMAX FILIAL CRUZ'!R41," ")</f>
        <v xml:space="preserve"> </v>
      </c>
      <c r="O47" s="37" t="str">
        <f>IF(A47&lt;0,'CAR PROMAX FILIAL CRUZ'!S41," ")</f>
        <v xml:space="preserve"> </v>
      </c>
      <c r="P47" s="37" t="str">
        <f>IF(A47&lt;0,'CAR PROMAX FILIAL CRUZ'!T41," ")</f>
        <v xml:space="preserve"> </v>
      </c>
      <c r="Q47" s="37" t="str">
        <f>IF(A47&lt;0,'CAR PROMAX FILIAL CRUZ'!U41," ")</f>
        <v xml:space="preserve"> </v>
      </c>
      <c r="R47" s="34" t="str">
        <f>IF(A47&lt;0,'CAR PROMAX FILIAL CRUZ'!V41," ")</f>
        <v xml:space="preserve"> </v>
      </c>
      <c r="T47" s="36"/>
      <c r="U47" s="21"/>
    </row>
    <row r="48" spans="1:21" s="39" customFormat="1" x14ac:dyDescent="0.25">
      <c r="A48" s="39">
        <f>'CAR PROMAX FILIAL CRUZ'!O42</f>
        <v>0</v>
      </c>
      <c r="B48" s="33" t="str">
        <f t="shared" si="2"/>
        <v xml:space="preserve"> </v>
      </c>
      <c r="C48" s="33" t="str">
        <f t="shared" si="1"/>
        <v xml:space="preserve"> </v>
      </c>
      <c r="D48" s="34" t="str">
        <f>IF(A48&lt;0,'CAR PROMAX FILIAL CRUZ'!B42," ")</f>
        <v xml:space="preserve"> </v>
      </c>
      <c r="E48" s="35" t="str">
        <f>IF(A48&lt;0,'CAR PROMAX FILIAL CRUZ'!C42," ")</f>
        <v xml:space="preserve"> </v>
      </c>
      <c r="F48" s="34" t="str">
        <f>IF(A48&lt;0,'CAR PROMAX FILIAL CRUZ'!D42," ")</f>
        <v xml:space="preserve"> </v>
      </c>
      <c r="G48" s="34" t="str">
        <f>IF(A48&lt;0,'CAR PROMAX FILIAL CRUZ'!E42," ")</f>
        <v xml:space="preserve"> </v>
      </c>
      <c r="H48" s="34" t="str">
        <f>IF(A48&lt;0,'CAR PROMAX FILIAL CRUZ'!J42," ")</f>
        <v xml:space="preserve"> </v>
      </c>
      <c r="I48" s="15"/>
      <c r="J48" s="15"/>
      <c r="K48" s="34" t="str">
        <f>IF(A48&lt;0,'CAR PROMAX FILIAL CRUZ'!O42," ")</f>
        <v xml:space="preserve"> </v>
      </c>
      <c r="L48" s="36" t="str">
        <f>IF(A48&lt;0,'CAR PROMAX FILIAL CRUZ'!P42," ")</f>
        <v xml:space="preserve"> </v>
      </c>
      <c r="M48" s="36" t="str">
        <f>IF(A48&lt;0,'CAR PROMAX FILIAL CRUZ'!Q42," ")</f>
        <v xml:space="preserve"> </v>
      </c>
      <c r="N48" s="36" t="str">
        <f>IF(A48&lt;0,'CAR PROMAX FILIAL CRUZ'!R42," ")</f>
        <v xml:space="preserve"> </v>
      </c>
      <c r="O48" s="37" t="str">
        <f>IF(A48&lt;0,'CAR PROMAX FILIAL CRUZ'!S42," ")</f>
        <v xml:space="preserve"> </v>
      </c>
      <c r="P48" s="37" t="str">
        <f>IF(A48&lt;0,'CAR PROMAX FILIAL CRUZ'!T42," ")</f>
        <v xml:space="preserve"> </v>
      </c>
      <c r="Q48" s="37" t="str">
        <f>IF(A48&lt;0,'CAR PROMAX FILIAL CRUZ'!U42," ")</f>
        <v xml:space="preserve"> </v>
      </c>
      <c r="R48" s="34" t="str">
        <f>IF(A48&lt;0,'CAR PROMAX FILIAL CRUZ'!V42," ")</f>
        <v xml:space="preserve"> </v>
      </c>
      <c r="T48" s="36"/>
      <c r="U48" s="21"/>
    </row>
    <row r="49" spans="1:21" s="39" customFormat="1" x14ac:dyDescent="0.25">
      <c r="A49" s="39">
        <f>'CAR PROMAX FILIAL CRUZ'!O43</f>
        <v>0</v>
      </c>
      <c r="B49" s="33" t="str">
        <f t="shared" si="2"/>
        <v xml:space="preserve"> </v>
      </c>
      <c r="C49" s="33" t="str">
        <f t="shared" si="1"/>
        <v xml:space="preserve"> </v>
      </c>
      <c r="D49" s="34" t="str">
        <f>IF(A49&lt;0,'CAR PROMAX FILIAL CRUZ'!B43," ")</f>
        <v xml:space="preserve"> </v>
      </c>
      <c r="E49" s="35" t="str">
        <f>IF(A49&lt;0,'CAR PROMAX FILIAL CRUZ'!C43," ")</f>
        <v xml:space="preserve"> </v>
      </c>
      <c r="F49" s="34" t="str">
        <f>IF(A49&lt;0,'CAR PROMAX FILIAL CRUZ'!D43," ")</f>
        <v xml:space="preserve"> </v>
      </c>
      <c r="G49" s="34" t="str">
        <f>IF(A49&lt;0,'CAR PROMAX FILIAL CRUZ'!E43," ")</f>
        <v xml:space="preserve"> </v>
      </c>
      <c r="H49" s="34" t="str">
        <f>IF(A49&lt;0,'CAR PROMAX FILIAL CRUZ'!J43," ")</f>
        <v xml:space="preserve"> </v>
      </c>
      <c r="I49" s="15"/>
      <c r="J49" s="15"/>
      <c r="K49" s="34" t="str">
        <f>IF(A49&lt;0,'CAR PROMAX FILIAL CRUZ'!O43," ")</f>
        <v xml:space="preserve"> </v>
      </c>
      <c r="L49" s="36" t="str">
        <f>IF(A49&lt;0,'CAR PROMAX FILIAL CRUZ'!P43," ")</f>
        <v xml:space="preserve"> </v>
      </c>
      <c r="M49" s="36" t="str">
        <f>IF(A49&lt;0,'CAR PROMAX FILIAL CRUZ'!Q43," ")</f>
        <v xml:space="preserve"> </v>
      </c>
      <c r="N49" s="36" t="str">
        <f>IF(A49&lt;0,'CAR PROMAX FILIAL CRUZ'!R43," ")</f>
        <v xml:space="preserve"> </v>
      </c>
      <c r="O49" s="37" t="str">
        <f>IF(A49&lt;0,'CAR PROMAX FILIAL CRUZ'!S43," ")</f>
        <v xml:space="preserve"> </v>
      </c>
      <c r="P49" s="37" t="str">
        <f>IF(A49&lt;0,'CAR PROMAX FILIAL CRUZ'!T43," ")</f>
        <v xml:space="preserve"> </v>
      </c>
      <c r="Q49" s="37" t="str">
        <f>IF(A49&lt;0,'CAR PROMAX FILIAL CRUZ'!U43," ")</f>
        <v xml:space="preserve"> </v>
      </c>
      <c r="R49" s="34" t="str">
        <f>IF(A49&lt;0,'CAR PROMAX FILIAL CRUZ'!V43," ")</f>
        <v xml:space="preserve"> </v>
      </c>
      <c r="T49" s="36"/>
      <c r="U49" s="21"/>
    </row>
    <row r="50" spans="1:21" s="39" customFormat="1" x14ac:dyDescent="0.25">
      <c r="A50" s="39">
        <f>'CAR PROMAX FILIAL CRUZ'!O44</f>
        <v>0</v>
      </c>
      <c r="B50" s="33" t="str">
        <f t="shared" si="2"/>
        <v xml:space="preserve"> </v>
      </c>
      <c r="C50" s="33" t="str">
        <f t="shared" si="1"/>
        <v xml:space="preserve"> </v>
      </c>
      <c r="D50" s="34" t="str">
        <f>IF(A50&lt;0,'CAR PROMAX FILIAL CRUZ'!B44," ")</f>
        <v xml:space="preserve"> </v>
      </c>
      <c r="E50" s="35" t="str">
        <f>IF(A50&lt;0,'CAR PROMAX FILIAL CRUZ'!C44," ")</f>
        <v xml:space="preserve"> </v>
      </c>
      <c r="F50" s="34" t="str">
        <f>IF(A50&lt;0,'CAR PROMAX FILIAL CRUZ'!D44," ")</f>
        <v xml:space="preserve"> </v>
      </c>
      <c r="G50" s="34" t="str">
        <f>IF(A50&lt;0,'CAR PROMAX FILIAL CRUZ'!E44," ")</f>
        <v xml:space="preserve"> </v>
      </c>
      <c r="H50" s="34" t="str">
        <f>IF(A50&lt;0,'CAR PROMAX FILIAL CRUZ'!J44," ")</f>
        <v xml:space="preserve"> </v>
      </c>
      <c r="I50" s="15"/>
      <c r="J50" s="15"/>
      <c r="K50" s="34" t="str">
        <f>IF(A50&lt;0,'CAR PROMAX FILIAL CRUZ'!O44," ")</f>
        <v xml:space="preserve"> </v>
      </c>
      <c r="L50" s="36" t="str">
        <f>IF(A50&lt;0,'CAR PROMAX FILIAL CRUZ'!P44," ")</f>
        <v xml:space="preserve"> </v>
      </c>
      <c r="M50" s="36" t="str">
        <f>IF(A50&lt;0,'CAR PROMAX FILIAL CRUZ'!Q44," ")</f>
        <v xml:space="preserve"> </v>
      </c>
      <c r="N50" s="36" t="str">
        <f>IF(A50&lt;0,'CAR PROMAX FILIAL CRUZ'!R44," ")</f>
        <v xml:space="preserve"> </v>
      </c>
      <c r="O50" s="37" t="str">
        <f>IF(A50&lt;0,'CAR PROMAX FILIAL CRUZ'!S44," ")</f>
        <v xml:space="preserve"> </v>
      </c>
      <c r="P50" s="37" t="str">
        <f>IF(A50&lt;0,'CAR PROMAX FILIAL CRUZ'!T44," ")</f>
        <v xml:space="preserve"> </v>
      </c>
      <c r="Q50" s="37" t="str">
        <f>IF(A50&lt;0,'CAR PROMAX FILIAL CRUZ'!U44," ")</f>
        <v xml:space="preserve"> </v>
      </c>
      <c r="R50" s="34" t="str">
        <f>IF(A50&lt;0,'CAR PROMAX FILIAL CRUZ'!V44," ")</f>
        <v xml:space="preserve"> </v>
      </c>
      <c r="T50" s="36"/>
      <c r="U50" s="21"/>
    </row>
    <row r="51" spans="1:21" s="39" customFormat="1" x14ac:dyDescent="0.25">
      <c r="A51" s="39">
        <f>'CAR PROMAX FILIAL CRUZ'!O45</f>
        <v>0</v>
      </c>
      <c r="B51" s="33" t="str">
        <f t="shared" si="2"/>
        <v xml:space="preserve"> </v>
      </c>
      <c r="C51" s="33" t="str">
        <f t="shared" si="1"/>
        <v xml:space="preserve"> </v>
      </c>
      <c r="D51" s="34" t="str">
        <f>IF(A51&lt;0,'CAR PROMAX FILIAL CRUZ'!B45," ")</f>
        <v xml:space="preserve"> </v>
      </c>
      <c r="E51" s="35" t="str">
        <f>IF(A51&lt;0,'CAR PROMAX FILIAL CRUZ'!C45," ")</f>
        <v xml:space="preserve"> </v>
      </c>
      <c r="F51" s="34" t="str">
        <f>IF(A51&lt;0,'CAR PROMAX FILIAL CRUZ'!D45," ")</f>
        <v xml:space="preserve"> </v>
      </c>
      <c r="G51" s="34" t="str">
        <f>IF(A51&lt;0,'CAR PROMAX FILIAL CRUZ'!E45," ")</f>
        <v xml:space="preserve"> </v>
      </c>
      <c r="H51" s="34" t="str">
        <f>IF(A51&lt;0,'CAR PROMAX FILIAL CRUZ'!J45," ")</f>
        <v xml:space="preserve"> </v>
      </c>
      <c r="I51" s="15"/>
      <c r="J51" s="15"/>
      <c r="K51" s="34" t="str">
        <f>IF(A51&lt;0,'CAR PROMAX FILIAL CRUZ'!O45," ")</f>
        <v xml:space="preserve"> </v>
      </c>
      <c r="L51" s="36" t="str">
        <f>IF(A51&lt;0,'CAR PROMAX FILIAL CRUZ'!P45," ")</f>
        <v xml:space="preserve"> </v>
      </c>
      <c r="M51" s="36" t="str">
        <f>IF(A51&lt;0,'CAR PROMAX FILIAL CRUZ'!Q45," ")</f>
        <v xml:space="preserve"> </v>
      </c>
      <c r="N51" s="36" t="str">
        <f>IF(A51&lt;0,'CAR PROMAX FILIAL CRUZ'!R45," ")</f>
        <v xml:space="preserve"> </v>
      </c>
      <c r="O51" s="37" t="str">
        <f>IF(A51&lt;0,'CAR PROMAX FILIAL CRUZ'!S45," ")</f>
        <v xml:space="preserve"> </v>
      </c>
      <c r="P51" s="37" t="str">
        <f>IF(A51&lt;0,'CAR PROMAX FILIAL CRUZ'!T45," ")</f>
        <v xml:space="preserve"> </v>
      </c>
      <c r="Q51" s="37" t="str">
        <f>IF(A51&lt;0,'CAR PROMAX FILIAL CRUZ'!U45," ")</f>
        <v xml:space="preserve"> </v>
      </c>
      <c r="R51" s="34" t="str">
        <f>IF(A51&lt;0,'CAR PROMAX FILIAL CRUZ'!V45," ")</f>
        <v xml:space="preserve"> </v>
      </c>
      <c r="T51" s="36"/>
      <c r="U51" s="21"/>
    </row>
    <row r="52" spans="1:21" s="39" customFormat="1" x14ac:dyDescent="0.25">
      <c r="A52" s="39">
        <f>'CAR PROMAX FILIAL CRUZ'!O46</f>
        <v>0</v>
      </c>
      <c r="B52" s="33" t="str">
        <f t="shared" si="2"/>
        <v xml:space="preserve"> </v>
      </c>
      <c r="C52" s="33" t="str">
        <f t="shared" si="1"/>
        <v xml:space="preserve"> </v>
      </c>
      <c r="D52" s="34" t="str">
        <f>IF(A52&lt;0,'CAR PROMAX FILIAL CRUZ'!B46," ")</f>
        <v xml:space="preserve"> </v>
      </c>
      <c r="E52" s="35" t="str">
        <f>IF(A52&lt;0,'CAR PROMAX FILIAL CRUZ'!C46," ")</f>
        <v xml:space="preserve"> </v>
      </c>
      <c r="F52" s="34" t="str">
        <f>IF(A52&lt;0,'CAR PROMAX FILIAL CRUZ'!D46," ")</f>
        <v xml:space="preserve"> </v>
      </c>
      <c r="G52" s="34" t="str">
        <f>IF(A52&lt;0,'CAR PROMAX FILIAL CRUZ'!E46," ")</f>
        <v xml:space="preserve"> </v>
      </c>
      <c r="H52" s="34" t="str">
        <f>IF(A52&lt;0,'CAR PROMAX FILIAL CRUZ'!J46," ")</f>
        <v xml:space="preserve"> </v>
      </c>
      <c r="I52" s="15"/>
      <c r="J52" s="15"/>
      <c r="K52" s="34" t="str">
        <f>IF(A52&lt;0,'CAR PROMAX FILIAL CRUZ'!O46," ")</f>
        <v xml:space="preserve"> </v>
      </c>
      <c r="L52" s="36" t="str">
        <f>IF(A52&lt;0,'CAR PROMAX FILIAL CRUZ'!P46," ")</f>
        <v xml:space="preserve"> </v>
      </c>
      <c r="M52" s="36" t="str">
        <f>IF(A52&lt;0,'CAR PROMAX FILIAL CRUZ'!Q46," ")</f>
        <v xml:space="preserve"> </v>
      </c>
      <c r="N52" s="36" t="str">
        <f>IF(A52&lt;0,'CAR PROMAX FILIAL CRUZ'!R46," ")</f>
        <v xml:space="preserve"> </v>
      </c>
      <c r="O52" s="37" t="str">
        <f>IF(A52&lt;0,'CAR PROMAX FILIAL CRUZ'!S46," ")</f>
        <v xml:space="preserve"> </v>
      </c>
      <c r="P52" s="37" t="str">
        <f>IF(A52&lt;0,'CAR PROMAX FILIAL CRUZ'!T46," ")</f>
        <v xml:space="preserve"> </v>
      </c>
      <c r="Q52" s="37" t="str">
        <f>IF(A52&lt;0,'CAR PROMAX FILIAL CRUZ'!U46," ")</f>
        <v xml:space="preserve"> </v>
      </c>
      <c r="R52" s="34" t="str">
        <f>IF(A52&lt;0,'CAR PROMAX FILIAL CRUZ'!V46," ")</f>
        <v xml:space="preserve"> </v>
      </c>
      <c r="U52" s="21"/>
    </row>
    <row r="53" spans="1:21" s="39" customFormat="1" x14ac:dyDescent="0.25">
      <c r="A53" s="39">
        <f>'CAR PROMAX FILIAL CRUZ'!O47</f>
        <v>0</v>
      </c>
      <c r="B53" s="33" t="str">
        <f t="shared" si="2"/>
        <v xml:space="preserve"> </v>
      </c>
      <c r="C53" s="33" t="str">
        <f t="shared" si="1"/>
        <v xml:space="preserve"> </v>
      </c>
      <c r="D53" s="34" t="str">
        <f>IF(A53&lt;0,'CAR PROMAX FILIAL CRUZ'!B47," ")</f>
        <v xml:space="preserve"> </v>
      </c>
      <c r="E53" s="35" t="str">
        <f>IF(A53&lt;0,'CAR PROMAX FILIAL CRUZ'!C47," ")</f>
        <v xml:space="preserve"> </v>
      </c>
      <c r="F53" s="34" t="str">
        <f>IF(A53&lt;0,'CAR PROMAX FILIAL CRUZ'!D47," ")</f>
        <v xml:space="preserve"> </v>
      </c>
      <c r="G53" s="34" t="str">
        <f>IF(A53&lt;0,'CAR PROMAX FILIAL CRUZ'!E47," ")</f>
        <v xml:space="preserve"> </v>
      </c>
      <c r="H53" s="34" t="str">
        <f>IF(A53&lt;0,'CAR PROMAX FILIAL CRUZ'!J47," ")</f>
        <v xml:space="preserve"> </v>
      </c>
      <c r="I53" s="15"/>
      <c r="J53" s="15"/>
      <c r="K53" s="34" t="str">
        <f>IF(A53&lt;0,'CAR PROMAX FILIAL CRUZ'!O47," ")</f>
        <v xml:space="preserve"> </v>
      </c>
      <c r="L53" s="36" t="str">
        <f>IF(A53&lt;0,'CAR PROMAX FILIAL CRUZ'!P47," ")</f>
        <v xml:space="preserve"> </v>
      </c>
      <c r="M53" s="36" t="str">
        <f>IF(A53&lt;0,'CAR PROMAX FILIAL CRUZ'!Q47," ")</f>
        <v xml:space="preserve"> </v>
      </c>
      <c r="N53" s="36" t="str">
        <f>IF(A53&lt;0,'CAR PROMAX FILIAL CRUZ'!R47," ")</f>
        <v xml:space="preserve"> </v>
      </c>
      <c r="O53" s="37" t="str">
        <f>IF(A53&lt;0,'CAR PROMAX FILIAL CRUZ'!S47," ")</f>
        <v xml:space="preserve"> </v>
      </c>
      <c r="P53" s="37" t="str">
        <f>IF(A53&lt;0,'CAR PROMAX FILIAL CRUZ'!T47," ")</f>
        <v xml:space="preserve"> </v>
      </c>
      <c r="Q53" s="37" t="str">
        <f>IF(A53&lt;0,'CAR PROMAX FILIAL CRUZ'!U47," ")</f>
        <v xml:space="preserve"> </v>
      </c>
      <c r="R53" s="34" t="str">
        <f>IF(A53&lt;0,'CAR PROMAX FILIAL CRUZ'!V47," ")</f>
        <v xml:space="preserve"> </v>
      </c>
      <c r="U53" s="17"/>
    </row>
    <row r="54" spans="1:21" s="39" customFormat="1" x14ac:dyDescent="0.25">
      <c r="A54" s="39">
        <f>'CAR PROMAX FILIAL CRUZ'!O48</f>
        <v>0</v>
      </c>
      <c r="B54" s="33" t="str">
        <f t="shared" si="2"/>
        <v xml:space="preserve"> </v>
      </c>
      <c r="C54" s="33" t="str">
        <f t="shared" si="1"/>
        <v xml:space="preserve"> </v>
      </c>
      <c r="D54" s="34" t="str">
        <f>IF(A54&lt;0,'CAR PROMAX FILIAL CRUZ'!B48," ")</f>
        <v xml:space="preserve"> </v>
      </c>
      <c r="E54" s="35" t="str">
        <f>IF(A54&lt;0,'CAR PROMAX FILIAL CRUZ'!C48," ")</f>
        <v xml:space="preserve"> </v>
      </c>
      <c r="F54" s="34" t="str">
        <f>IF(A54&lt;0,'CAR PROMAX FILIAL CRUZ'!D48," ")</f>
        <v xml:space="preserve"> </v>
      </c>
      <c r="G54" s="34" t="str">
        <f>IF(A54&lt;0,'CAR PROMAX FILIAL CRUZ'!E48," ")</f>
        <v xml:space="preserve"> </v>
      </c>
      <c r="H54" s="34" t="str">
        <f>IF(A54&lt;0,'CAR PROMAX FILIAL CRUZ'!J48," ")</f>
        <v xml:space="preserve"> </v>
      </c>
      <c r="I54" s="15"/>
      <c r="J54" s="15"/>
      <c r="K54" s="34" t="str">
        <f>IF(A54&lt;0,'CAR PROMAX FILIAL CRUZ'!O48," ")</f>
        <v xml:space="preserve"> </v>
      </c>
      <c r="L54" s="36" t="str">
        <f>IF(A54&lt;0,'CAR PROMAX FILIAL CRUZ'!P48," ")</f>
        <v xml:space="preserve"> </v>
      </c>
      <c r="M54" s="36" t="str">
        <f>IF(A54&lt;0,'CAR PROMAX FILIAL CRUZ'!Q48," ")</f>
        <v xml:space="preserve"> </v>
      </c>
      <c r="N54" s="36" t="str">
        <f>IF(A54&lt;0,'CAR PROMAX FILIAL CRUZ'!R48," ")</f>
        <v xml:space="preserve"> </v>
      </c>
      <c r="O54" s="37" t="str">
        <f>IF(A54&lt;0,'CAR PROMAX FILIAL CRUZ'!S48," ")</f>
        <v xml:space="preserve"> </v>
      </c>
      <c r="P54" s="37" t="str">
        <f>IF(A54&lt;0,'CAR PROMAX FILIAL CRUZ'!T48," ")</f>
        <v xml:space="preserve"> </v>
      </c>
      <c r="Q54" s="37" t="str">
        <f>IF(A54&lt;0,'CAR PROMAX FILIAL CRUZ'!U48," ")</f>
        <v xml:space="preserve"> </v>
      </c>
      <c r="R54" s="34" t="str">
        <f>IF(A54&lt;0,'CAR PROMAX FILIAL CRUZ'!V48," ")</f>
        <v xml:space="preserve"> </v>
      </c>
      <c r="U54" s="21"/>
    </row>
    <row r="55" spans="1:21" s="39" customFormat="1" x14ac:dyDescent="0.25">
      <c r="A55" s="39">
        <f>'CAR PROMAX FILIAL CRUZ'!O49</f>
        <v>0</v>
      </c>
      <c r="B55" s="33" t="str">
        <f t="shared" si="2"/>
        <v xml:space="preserve"> </v>
      </c>
      <c r="C55" s="33" t="str">
        <f t="shared" si="1"/>
        <v xml:space="preserve"> </v>
      </c>
      <c r="D55" s="34" t="str">
        <f>IF(A55&lt;0,'CAR PROMAX FILIAL CRUZ'!B49," ")</f>
        <v xml:space="preserve"> </v>
      </c>
      <c r="E55" s="35" t="str">
        <f>IF(A55&lt;0,'CAR PROMAX FILIAL CRUZ'!C49," ")</f>
        <v xml:space="preserve"> </v>
      </c>
      <c r="F55" s="34" t="str">
        <f>IF(A55&lt;0,'CAR PROMAX FILIAL CRUZ'!D49," ")</f>
        <v xml:space="preserve"> </v>
      </c>
      <c r="G55" s="34" t="str">
        <f>IF(A55&lt;0,'CAR PROMAX FILIAL CRUZ'!E49," ")</f>
        <v xml:space="preserve"> </v>
      </c>
      <c r="H55" s="34" t="str">
        <f>IF(A55&lt;0,'CAR PROMAX FILIAL CRUZ'!J49," ")</f>
        <v xml:space="preserve"> </v>
      </c>
      <c r="I55" s="15"/>
      <c r="J55" s="15"/>
      <c r="K55" s="34" t="str">
        <f>IF(A55&lt;0,'CAR PROMAX FILIAL CRUZ'!O49," ")</f>
        <v xml:space="preserve"> </v>
      </c>
      <c r="L55" s="36" t="str">
        <f>IF(A55&lt;0,'CAR PROMAX FILIAL CRUZ'!P49," ")</f>
        <v xml:space="preserve"> </v>
      </c>
      <c r="M55" s="36" t="str">
        <f>IF(A55&lt;0,'CAR PROMAX FILIAL CRUZ'!Q49," ")</f>
        <v xml:space="preserve"> </v>
      </c>
      <c r="N55" s="36" t="str">
        <f>IF(A55&lt;0,'CAR PROMAX FILIAL CRUZ'!R49," ")</f>
        <v xml:space="preserve"> </v>
      </c>
      <c r="O55" s="37" t="str">
        <f>IF(A55&lt;0,'CAR PROMAX FILIAL CRUZ'!S49," ")</f>
        <v xml:space="preserve"> </v>
      </c>
      <c r="P55" s="37" t="str">
        <f>IF(A55&lt;0,'CAR PROMAX FILIAL CRUZ'!T49," ")</f>
        <v xml:space="preserve"> </v>
      </c>
      <c r="Q55" s="37" t="str">
        <f>IF(A55&lt;0,'CAR PROMAX FILIAL CRUZ'!U49," ")</f>
        <v xml:space="preserve"> </v>
      </c>
      <c r="R55" s="34" t="str">
        <f>IF(A55&lt;0,'CAR PROMAX FILIAL CRUZ'!V49," ")</f>
        <v xml:space="preserve"> </v>
      </c>
      <c r="U55" s="17"/>
    </row>
    <row r="56" spans="1:21" s="39" customFormat="1" x14ac:dyDescent="0.25">
      <c r="A56" s="39">
        <f>'CAR PROMAX FILIAL CRUZ'!O50</f>
        <v>0</v>
      </c>
      <c r="B56" s="33" t="str">
        <f t="shared" si="2"/>
        <v xml:space="preserve"> </v>
      </c>
      <c r="C56" s="33" t="str">
        <f t="shared" si="1"/>
        <v xml:space="preserve"> </v>
      </c>
      <c r="D56" s="34" t="str">
        <f>IF(A56&lt;0,'CAR PROMAX FILIAL CRUZ'!B50," ")</f>
        <v xml:space="preserve"> </v>
      </c>
      <c r="E56" s="35" t="str">
        <f>IF(A56&lt;0,'CAR PROMAX FILIAL CRUZ'!C50," ")</f>
        <v xml:space="preserve"> </v>
      </c>
      <c r="F56" s="34" t="str">
        <f>IF(A56&lt;0,'CAR PROMAX FILIAL CRUZ'!D50," ")</f>
        <v xml:space="preserve"> </v>
      </c>
      <c r="G56" s="34" t="str">
        <f>IF(A56&lt;0,'CAR PROMAX FILIAL CRUZ'!E50," ")</f>
        <v xml:space="preserve"> </v>
      </c>
      <c r="H56" s="34" t="str">
        <f>IF(A56&lt;0,'CAR PROMAX FILIAL CRUZ'!J50," ")</f>
        <v xml:space="preserve"> </v>
      </c>
      <c r="I56" s="15"/>
      <c r="J56" s="15"/>
      <c r="K56" s="34" t="str">
        <f>IF(A56&lt;0,'CAR PROMAX FILIAL CRUZ'!O50," ")</f>
        <v xml:space="preserve"> </v>
      </c>
      <c r="L56" s="36" t="str">
        <f>IF(A56&lt;0,'CAR PROMAX FILIAL CRUZ'!P50," ")</f>
        <v xml:space="preserve"> </v>
      </c>
      <c r="M56" s="36" t="str">
        <f>IF(A56&lt;0,'CAR PROMAX FILIAL CRUZ'!Q50," ")</f>
        <v xml:space="preserve"> </v>
      </c>
      <c r="N56" s="36" t="str">
        <f>IF(A56&lt;0,'CAR PROMAX FILIAL CRUZ'!R50," ")</f>
        <v xml:space="preserve"> </v>
      </c>
      <c r="O56" s="37" t="str">
        <f>IF(A56&lt;0,'CAR PROMAX FILIAL CRUZ'!S50," ")</f>
        <v xml:space="preserve"> </v>
      </c>
      <c r="P56" s="37" t="str">
        <f>IF(A56&lt;0,'CAR PROMAX FILIAL CRUZ'!T50," ")</f>
        <v xml:space="preserve"> </v>
      </c>
      <c r="Q56" s="37" t="str">
        <f>IF(A56&lt;0,'CAR PROMAX FILIAL CRUZ'!U50," ")</f>
        <v xml:space="preserve"> </v>
      </c>
      <c r="R56" s="34" t="str">
        <f>IF(A56&lt;0,'CAR PROMAX FILIAL CRUZ'!V50," ")</f>
        <v xml:space="preserve"> </v>
      </c>
      <c r="U56" s="21"/>
    </row>
    <row r="57" spans="1:21" s="39" customFormat="1" x14ac:dyDescent="0.25">
      <c r="A57" s="39">
        <f>'CAR PROMAX FILIAL CRUZ'!O51</f>
        <v>3</v>
      </c>
      <c r="B57" s="15" t="str">
        <f t="shared" si="2"/>
        <v xml:space="preserve"> </v>
      </c>
      <c r="C57" s="33" t="str">
        <f t="shared" si="1"/>
        <v xml:space="preserve"> </v>
      </c>
      <c r="D57" s="34" t="str">
        <f>IF(A57&lt;0,'CAR PROMAX FILIAL CRUZ'!B51," ")</f>
        <v xml:space="preserve"> </v>
      </c>
      <c r="E57" s="35" t="str">
        <f>IF(A57&lt;0,'CAR PROMAX FILIAL CRUZ'!C51," ")</f>
        <v xml:space="preserve"> </v>
      </c>
      <c r="F57" s="34" t="str">
        <f>IF(A57&lt;0,'CAR PROMAX FILIAL CRUZ'!D51," ")</f>
        <v xml:space="preserve"> </v>
      </c>
      <c r="G57" s="34" t="str">
        <f>IF(A57&lt;0,'CAR PROMAX FILIAL CRUZ'!E51," ")</f>
        <v xml:space="preserve"> </v>
      </c>
      <c r="H57" s="34" t="str">
        <f>IF(A57&lt;0,'CAR PROMAX FILIAL CRUZ'!J51," ")</f>
        <v xml:space="preserve"> </v>
      </c>
      <c r="I57" s="15"/>
      <c r="J57" s="15"/>
      <c r="K57" s="34" t="str">
        <f>IF(A57&lt;0,'CAR PROMAX FILIAL CRUZ'!O51," ")</f>
        <v xml:space="preserve"> </v>
      </c>
      <c r="L57" s="36" t="str">
        <f>IF(A57&lt;0,'CAR PROMAX FILIAL CRUZ'!P51," ")</f>
        <v xml:space="preserve"> </v>
      </c>
      <c r="M57" s="36" t="str">
        <f>IF(A57&lt;0,'CAR PROMAX FILIAL CRUZ'!Q51," ")</f>
        <v xml:space="preserve"> </v>
      </c>
      <c r="N57" s="36" t="str">
        <f>IF(A57&lt;0,'CAR PROMAX FILIAL CRUZ'!R51," ")</f>
        <v xml:space="preserve"> </v>
      </c>
      <c r="O57" s="37" t="str">
        <f>IF(A57&lt;0,'CAR PROMAX FILIAL CRUZ'!S51," ")</f>
        <v xml:space="preserve"> </v>
      </c>
      <c r="P57" s="37" t="str">
        <f>IF(A57&lt;0,'CAR PROMAX FILIAL CRUZ'!T51," ")</f>
        <v xml:space="preserve"> </v>
      </c>
      <c r="Q57" s="37" t="str">
        <f>IF(A57&lt;0,'CAR PROMAX FILIAL CRUZ'!U51," ")</f>
        <v xml:space="preserve"> </v>
      </c>
      <c r="R57" s="34" t="str">
        <f>IF(A57&lt;0,'CAR PROMAX FILIAL CRUZ'!V51," ")</f>
        <v xml:space="preserve"> </v>
      </c>
      <c r="U57" s="21"/>
    </row>
    <row r="58" spans="1:21" s="39" customFormat="1" x14ac:dyDescent="0.25">
      <c r="A58" s="39">
        <f>'CAR PROMAX FILIAL CRUZ'!O52</f>
        <v>3</v>
      </c>
      <c r="B58" s="15" t="str">
        <f t="shared" si="2"/>
        <v xml:space="preserve"> </v>
      </c>
      <c r="C58" s="33" t="str">
        <f t="shared" si="1"/>
        <v xml:space="preserve"> </v>
      </c>
      <c r="D58" s="34" t="str">
        <f>IF(A58&lt;0,'CAR PROMAX FILIAL CRUZ'!B52," ")</f>
        <v xml:space="preserve"> </v>
      </c>
      <c r="E58" s="35" t="str">
        <f>IF(A58&lt;0,'CAR PROMAX FILIAL CRUZ'!C52," ")</f>
        <v xml:space="preserve"> </v>
      </c>
      <c r="F58" s="34" t="str">
        <f>IF(A58&lt;0,'CAR PROMAX FILIAL CRUZ'!D52," ")</f>
        <v xml:space="preserve"> </v>
      </c>
      <c r="G58" s="34" t="str">
        <f>IF(A58&lt;0,'CAR PROMAX FILIAL CRUZ'!E52," ")</f>
        <v xml:space="preserve"> </v>
      </c>
      <c r="H58" s="34" t="str">
        <f>IF(A58&lt;0,'CAR PROMAX FILIAL CRUZ'!J52," ")</f>
        <v xml:space="preserve"> </v>
      </c>
      <c r="I58" s="15"/>
      <c r="J58" s="15"/>
      <c r="K58" s="34" t="str">
        <f>IF(A58&lt;0,'CAR PROMAX FILIAL CRUZ'!O52," ")</f>
        <v xml:space="preserve"> </v>
      </c>
      <c r="L58" s="36" t="str">
        <f>IF(A58&lt;0,'CAR PROMAX FILIAL CRUZ'!P52," ")</f>
        <v xml:space="preserve"> </v>
      </c>
      <c r="M58" s="36" t="str">
        <f>IF(A58&lt;0,'CAR PROMAX FILIAL CRUZ'!Q52," ")</f>
        <v xml:space="preserve"> </v>
      </c>
      <c r="N58" s="36" t="str">
        <f>IF(A58&lt;0,'CAR PROMAX FILIAL CRUZ'!R52," ")</f>
        <v xml:space="preserve"> </v>
      </c>
      <c r="O58" s="37" t="str">
        <f>IF(A58&lt;0,'CAR PROMAX FILIAL CRUZ'!S52," ")</f>
        <v xml:space="preserve"> </v>
      </c>
      <c r="P58" s="37" t="str">
        <f>IF(A58&lt;0,'CAR PROMAX FILIAL CRUZ'!T52," ")</f>
        <v xml:space="preserve"> </v>
      </c>
      <c r="Q58" s="37" t="str">
        <f>IF(A58&lt;0,'CAR PROMAX FILIAL CRUZ'!U52," ")</f>
        <v xml:space="preserve"> </v>
      </c>
      <c r="R58" s="34" t="str">
        <f>IF(A58&lt;0,'CAR PROMAX FILIAL CRUZ'!V52," ")</f>
        <v xml:space="preserve"> </v>
      </c>
      <c r="U58" s="17"/>
    </row>
    <row r="59" spans="1:21" s="39" customFormat="1" x14ac:dyDescent="0.25">
      <c r="A59" s="39">
        <f>'CAR PROMAX FILIAL CRUZ'!O53</f>
        <v>3</v>
      </c>
      <c r="B59" s="15" t="str">
        <f t="shared" si="2"/>
        <v xml:space="preserve"> </v>
      </c>
      <c r="C59" s="33" t="str">
        <f t="shared" si="1"/>
        <v xml:space="preserve"> </v>
      </c>
      <c r="D59" s="34" t="str">
        <f>IF(A59&lt;0,'CAR PROMAX FILIAL CRUZ'!B53," ")</f>
        <v xml:space="preserve"> </v>
      </c>
      <c r="E59" s="35" t="str">
        <f>IF(A59&lt;0,'CAR PROMAX FILIAL CRUZ'!C53," ")</f>
        <v xml:space="preserve"> </v>
      </c>
      <c r="F59" s="34" t="str">
        <f>IF(A59&lt;0,'CAR PROMAX FILIAL CRUZ'!D53," ")</f>
        <v xml:space="preserve"> </v>
      </c>
      <c r="G59" s="34" t="str">
        <f>IF(A59&lt;0,'CAR PROMAX FILIAL CRUZ'!E53," ")</f>
        <v xml:space="preserve"> </v>
      </c>
      <c r="H59" s="34" t="str">
        <f>IF(A59&lt;0,'CAR PROMAX FILIAL CRUZ'!J53," ")</f>
        <v xml:space="preserve"> </v>
      </c>
      <c r="I59" s="15"/>
      <c r="J59" s="15"/>
      <c r="K59" s="34" t="str">
        <f>IF(A59&lt;0,'CAR PROMAX FILIAL CRUZ'!O53," ")</f>
        <v xml:space="preserve"> </v>
      </c>
      <c r="L59" s="36" t="str">
        <f>IF(A59&lt;0,'CAR PROMAX FILIAL CRUZ'!P53," ")</f>
        <v xml:space="preserve"> </v>
      </c>
      <c r="M59" s="36" t="str">
        <f>IF(A59&lt;0,'CAR PROMAX FILIAL CRUZ'!Q53," ")</f>
        <v xml:space="preserve"> </v>
      </c>
      <c r="N59" s="36" t="str">
        <f>IF(A59&lt;0,'CAR PROMAX FILIAL CRUZ'!R53," ")</f>
        <v xml:space="preserve"> </v>
      </c>
      <c r="O59" s="37" t="str">
        <f>IF(A59&lt;0,'CAR PROMAX FILIAL CRUZ'!S53," ")</f>
        <v xml:space="preserve"> </v>
      </c>
      <c r="P59" s="37" t="str">
        <f>IF(A59&lt;0,'CAR PROMAX FILIAL CRUZ'!T53," ")</f>
        <v xml:space="preserve"> </v>
      </c>
      <c r="Q59" s="37" t="str">
        <f>IF(A59&lt;0,'CAR PROMAX FILIAL CRUZ'!U53," ")</f>
        <v xml:space="preserve"> </v>
      </c>
      <c r="R59" s="34" t="str">
        <f>IF(A59&lt;0,'CAR PROMAX FILIAL CRUZ'!V53," ")</f>
        <v xml:space="preserve"> </v>
      </c>
      <c r="U59" s="17"/>
    </row>
    <row r="60" spans="1:21" s="39" customFormat="1" x14ac:dyDescent="0.25">
      <c r="A60" s="39">
        <f>'CAR PROMAX FILIAL CRUZ'!O54</f>
        <v>3</v>
      </c>
      <c r="B60" s="15" t="str">
        <f t="shared" si="2"/>
        <v xml:space="preserve"> </v>
      </c>
      <c r="C60" s="33" t="str">
        <f t="shared" si="1"/>
        <v xml:space="preserve"> </v>
      </c>
      <c r="D60" s="34" t="str">
        <f>IF(A60&lt;0,'CAR PROMAX FILIAL CRUZ'!B54," ")</f>
        <v xml:space="preserve"> </v>
      </c>
      <c r="E60" s="35" t="str">
        <f>IF(A60&lt;0,'CAR PROMAX FILIAL CRUZ'!C54," ")</f>
        <v xml:space="preserve"> </v>
      </c>
      <c r="F60" s="34" t="str">
        <f>IF(A60&lt;0,'CAR PROMAX FILIAL CRUZ'!D54," ")</f>
        <v xml:space="preserve"> </v>
      </c>
      <c r="G60" s="34" t="str">
        <f>IF(A60&lt;0,'CAR PROMAX FILIAL CRUZ'!E54," ")</f>
        <v xml:space="preserve"> </v>
      </c>
      <c r="H60" s="34" t="str">
        <f>IF(A60&lt;0,'CAR PROMAX FILIAL CRUZ'!J54," ")</f>
        <v xml:space="preserve"> </v>
      </c>
      <c r="I60" s="15"/>
      <c r="J60" s="15"/>
      <c r="K60" s="34" t="str">
        <f>IF(A60&lt;0,'CAR PROMAX FILIAL CRUZ'!O54," ")</f>
        <v xml:space="preserve"> </v>
      </c>
      <c r="L60" s="36" t="str">
        <f>IF(A60&lt;0,'CAR PROMAX FILIAL CRUZ'!P54," ")</f>
        <v xml:space="preserve"> </v>
      </c>
      <c r="M60" s="36" t="str">
        <f>IF(A60&lt;0,'CAR PROMAX FILIAL CRUZ'!Q54," ")</f>
        <v xml:space="preserve"> </v>
      </c>
      <c r="N60" s="36" t="str">
        <f>IF(A60&lt;0,'CAR PROMAX FILIAL CRUZ'!R54," ")</f>
        <v xml:space="preserve"> </v>
      </c>
      <c r="O60" s="37" t="str">
        <f>IF(A60&lt;0,'CAR PROMAX FILIAL CRUZ'!S54," ")</f>
        <v xml:space="preserve"> </v>
      </c>
      <c r="P60" s="37" t="str">
        <f>IF(A60&lt;0,'CAR PROMAX FILIAL CRUZ'!T54," ")</f>
        <v xml:space="preserve"> </v>
      </c>
      <c r="Q60" s="37" t="str">
        <f>IF(A60&lt;0,'CAR PROMAX FILIAL CRUZ'!U54," ")</f>
        <v xml:space="preserve"> </v>
      </c>
      <c r="R60" s="34" t="str">
        <f>IF(A60&lt;0,'CAR PROMAX FILIAL CRUZ'!V54," ")</f>
        <v xml:space="preserve"> </v>
      </c>
    </row>
    <row r="61" spans="1:21" s="39" customFormat="1" x14ac:dyDescent="0.25">
      <c r="A61" s="39">
        <f>'CAR PROMAX FILIAL CRUZ'!O55</f>
        <v>3</v>
      </c>
      <c r="B61" s="15" t="str">
        <f t="shared" si="2"/>
        <v xml:space="preserve"> </v>
      </c>
      <c r="C61" s="33" t="str">
        <f t="shared" si="1"/>
        <v xml:space="preserve"> </v>
      </c>
      <c r="D61" s="34" t="str">
        <f>IF(A61&lt;0,'CAR PROMAX FILIAL CRUZ'!B55," ")</f>
        <v xml:space="preserve"> </v>
      </c>
      <c r="E61" s="35" t="str">
        <f>IF(A61&lt;0,'CAR PROMAX FILIAL CRUZ'!C55," ")</f>
        <v xml:space="preserve"> </v>
      </c>
      <c r="F61" s="34" t="str">
        <f>IF(A61&lt;0,'CAR PROMAX FILIAL CRUZ'!D55," ")</f>
        <v xml:space="preserve"> </v>
      </c>
      <c r="G61" s="34" t="str">
        <f>IF(A61&lt;0,'CAR PROMAX FILIAL CRUZ'!E55," ")</f>
        <v xml:space="preserve"> </v>
      </c>
      <c r="H61" s="34" t="str">
        <f>IF(A61&lt;0,'CAR PROMAX FILIAL CRUZ'!J55," ")</f>
        <v xml:space="preserve"> </v>
      </c>
      <c r="I61" s="15"/>
      <c r="J61" s="15"/>
      <c r="K61" s="34" t="str">
        <f>IF(A61&lt;0,'CAR PROMAX FILIAL CRUZ'!O55," ")</f>
        <v xml:space="preserve"> </v>
      </c>
      <c r="L61" s="36" t="str">
        <f>IF(A61&lt;0,'CAR PROMAX FILIAL CRUZ'!P55," ")</f>
        <v xml:space="preserve"> </v>
      </c>
      <c r="M61" s="36" t="str">
        <f>IF(A61&lt;0,'CAR PROMAX FILIAL CRUZ'!Q55," ")</f>
        <v xml:space="preserve"> </v>
      </c>
      <c r="N61" s="36" t="str">
        <f>IF(A61&lt;0,'CAR PROMAX FILIAL CRUZ'!R55," ")</f>
        <v xml:space="preserve"> </v>
      </c>
      <c r="O61" s="37" t="str">
        <f>IF(A61&lt;0,'CAR PROMAX FILIAL CRUZ'!S55," ")</f>
        <v xml:space="preserve"> </v>
      </c>
      <c r="P61" s="37" t="str">
        <f>IF(A61&lt;0,'CAR PROMAX FILIAL CRUZ'!T55," ")</f>
        <v xml:space="preserve"> </v>
      </c>
      <c r="Q61" s="37" t="str">
        <f>IF(A61&lt;0,'CAR PROMAX FILIAL CRUZ'!U55," ")</f>
        <v xml:space="preserve"> </v>
      </c>
      <c r="R61" s="34" t="str">
        <f>IF(A61&lt;0,'CAR PROMAX FILIAL CRUZ'!V55," ")</f>
        <v xml:space="preserve"> </v>
      </c>
    </row>
    <row r="62" spans="1:21" s="39" customFormat="1" x14ac:dyDescent="0.25">
      <c r="A62" s="39">
        <f>'CAR PROMAX FILIAL CRUZ'!O56</f>
        <v>3</v>
      </c>
      <c r="B62" s="15" t="str">
        <f t="shared" si="2"/>
        <v xml:space="preserve"> </v>
      </c>
      <c r="C62" s="33" t="str">
        <f t="shared" si="1"/>
        <v xml:space="preserve"> </v>
      </c>
      <c r="D62" s="34" t="str">
        <f>IF(A62&lt;0,'CAR PROMAX FILIAL CRUZ'!B56," ")</f>
        <v xml:space="preserve"> </v>
      </c>
      <c r="E62" s="35" t="str">
        <f>IF(A62&lt;0,'CAR PROMAX FILIAL CRUZ'!C56," ")</f>
        <v xml:space="preserve"> </v>
      </c>
      <c r="F62" s="34" t="str">
        <f>IF(A62&lt;0,'CAR PROMAX FILIAL CRUZ'!D56," ")</f>
        <v xml:space="preserve"> </v>
      </c>
      <c r="G62" s="34" t="str">
        <f>IF(A62&lt;0,'CAR PROMAX FILIAL CRUZ'!E56," ")</f>
        <v xml:space="preserve"> </v>
      </c>
      <c r="H62" s="34" t="str">
        <f>IF(A62&lt;0,'CAR PROMAX FILIAL CRUZ'!J56," ")</f>
        <v xml:space="preserve"> </v>
      </c>
      <c r="I62" s="15"/>
      <c r="J62" s="15"/>
      <c r="K62" s="34" t="str">
        <f>IF(A62&lt;0,'CAR PROMAX FILIAL CRUZ'!O56," ")</f>
        <v xml:space="preserve"> </v>
      </c>
      <c r="L62" s="36" t="str">
        <f>IF(A62&lt;0,'CAR PROMAX FILIAL CRUZ'!P56," ")</f>
        <v xml:space="preserve"> </v>
      </c>
      <c r="M62" s="36" t="str">
        <f>IF(A62&lt;0,'CAR PROMAX FILIAL CRUZ'!Q56," ")</f>
        <v xml:space="preserve"> </v>
      </c>
      <c r="N62" s="36" t="str">
        <f>IF(A62&lt;0,'CAR PROMAX FILIAL CRUZ'!R56," ")</f>
        <v xml:space="preserve"> </v>
      </c>
      <c r="O62" s="37" t="str">
        <f>IF(A62&lt;0,'CAR PROMAX FILIAL CRUZ'!S56," ")</f>
        <v xml:space="preserve"> </v>
      </c>
      <c r="P62" s="37" t="str">
        <f>IF(A62&lt;0,'CAR PROMAX FILIAL CRUZ'!T56," ")</f>
        <v xml:space="preserve"> </v>
      </c>
      <c r="Q62" s="37" t="str">
        <f>IF(A62&lt;0,'CAR PROMAX FILIAL CRUZ'!U56," ")</f>
        <v xml:space="preserve"> </v>
      </c>
      <c r="R62" s="34" t="str">
        <f>IF(A62&lt;0,'CAR PROMAX FILIAL CRUZ'!V56," ")</f>
        <v xml:space="preserve"> </v>
      </c>
    </row>
    <row r="63" spans="1:21" s="39" customFormat="1" x14ac:dyDescent="0.25">
      <c r="A63" s="39">
        <f>'CAR PROMAX FILIAL CRUZ'!O57</f>
        <v>3</v>
      </c>
      <c r="B63" s="15" t="str">
        <f t="shared" si="2"/>
        <v xml:space="preserve"> </v>
      </c>
      <c r="C63" s="33" t="str">
        <f t="shared" si="1"/>
        <v xml:space="preserve"> </v>
      </c>
      <c r="D63" s="34" t="str">
        <f>IF(A63&lt;0,'CAR PROMAX FILIAL CRUZ'!B57," ")</f>
        <v xml:space="preserve"> </v>
      </c>
      <c r="E63" s="35" t="str">
        <f>IF(A63&lt;0,'CAR PROMAX FILIAL CRUZ'!C57," ")</f>
        <v xml:space="preserve"> </v>
      </c>
      <c r="F63" s="34" t="str">
        <f>IF(A63&lt;0,'CAR PROMAX FILIAL CRUZ'!D57," ")</f>
        <v xml:space="preserve"> </v>
      </c>
      <c r="G63" s="34" t="str">
        <f>IF(A63&lt;0,'CAR PROMAX FILIAL CRUZ'!E57," ")</f>
        <v xml:space="preserve"> </v>
      </c>
      <c r="H63" s="34" t="str">
        <f>IF(A63&lt;0,'CAR PROMAX FILIAL CRUZ'!J57," ")</f>
        <v xml:space="preserve"> </v>
      </c>
      <c r="I63" s="15"/>
      <c r="J63" s="15"/>
      <c r="K63" s="34" t="str">
        <f>IF(A63&lt;0,'CAR PROMAX FILIAL CRUZ'!O57," ")</f>
        <v xml:space="preserve"> </v>
      </c>
      <c r="L63" s="36" t="str">
        <f>IF(A63&lt;0,'CAR PROMAX FILIAL CRUZ'!P57," ")</f>
        <v xml:space="preserve"> </v>
      </c>
      <c r="M63" s="36" t="str">
        <f>IF(A63&lt;0,'CAR PROMAX FILIAL CRUZ'!Q57," ")</f>
        <v xml:space="preserve"> </v>
      </c>
      <c r="N63" s="36" t="str">
        <f>IF(A63&lt;0,'CAR PROMAX FILIAL CRUZ'!R57," ")</f>
        <v xml:space="preserve"> </v>
      </c>
      <c r="O63" s="37" t="str">
        <f>IF(A63&lt;0,'CAR PROMAX FILIAL CRUZ'!S57," ")</f>
        <v xml:space="preserve"> </v>
      </c>
      <c r="P63" s="37" t="str">
        <f>IF(A63&lt;0,'CAR PROMAX FILIAL CRUZ'!T57," ")</f>
        <v xml:space="preserve"> </v>
      </c>
      <c r="Q63" s="37" t="str">
        <f>IF(A63&lt;0,'CAR PROMAX FILIAL CRUZ'!U57," ")</f>
        <v xml:space="preserve"> </v>
      </c>
      <c r="R63" s="34" t="str">
        <f>IF(A63&lt;0,'CAR PROMAX FILIAL CRUZ'!V57," ")</f>
        <v xml:space="preserve"> </v>
      </c>
    </row>
    <row r="64" spans="1:21" x14ac:dyDescent="0.25">
      <c r="A64">
        <f>'CAR PROMAX FILIAL CRUZ'!O58</f>
        <v>3</v>
      </c>
      <c r="B64" s="15" t="str">
        <f t="shared" si="2"/>
        <v xml:space="preserve"> </v>
      </c>
      <c r="C64" s="33" t="str">
        <f t="shared" si="1"/>
        <v xml:space="preserve"> </v>
      </c>
      <c r="D64" s="34" t="str">
        <f>IF(A64&lt;0,'CAR PROMAX FILIAL CRUZ'!B58," ")</f>
        <v xml:space="preserve"> </v>
      </c>
      <c r="E64" s="35" t="str">
        <f>IF(A64&lt;0,'CAR PROMAX FILIAL CRUZ'!C58," ")</f>
        <v xml:space="preserve"> </v>
      </c>
      <c r="F64" s="34" t="str">
        <f>IF(A64&lt;0,'CAR PROMAX FILIAL CRUZ'!D58," ")</f>
        <v xml:space="preserve"> </v>
      </c>
      <c r="G64" s="34" t="str">
        <f>IF(A64&lt;0,'CAR PROMAX FILIAL CRUZ'!E58," ")</f>
        <v xml:space="preserve"> </v>
      </c>
      <c r="H64" s="34" t="str">
        <f>IF(A64&lt;0,'CAR PROMAX FILIAL CRUZ'!J58," ")</f>
        <v xml:space="preserve"> </v>
      </c>
      <c r="I64" s="15"/>
      <c r="J64" s="15"/>
      <c r="K64" s="34" t="str">
        <f>IF(A64&lt;0,'CAR PROMAX FILIAL CRUZ'!O58," ")</f>
        <v xml:space="preserve"> </v>
      </c>
      <c r="L64" s="36" t="str">
        <f>IF(A64&lt;0,'CAR PROMAX FILIAL CRUZ'!P58," ")</f>
        <v xml:space="preserve"> </v>
      </c>
      <c r="M64" s="36" t="str">
        <f>IF(A64&lt;0,'CAR PROMAX FILIAL CRUZ'!Q58," ")</f>
        <v xml:space="preserve"> </v>
      </c>
      <c r="N64" s="36" t="str">
        <f>IF(A64&lt;0,'CAR PROMAX FILIAL CRUZ'!R58," ")</f>
        <v xml:space="preserve"> </v>
      </c>
      <c r="O64" s="37" t="str">
        <f>IF(A64&lt;0,'CAR PROMAX FILIAL CRUZ'!S58," ")</f>
        <v xml:space="preserve"> </v>
      </c>
      <c r="P64" s="37" t="str">
        <f>IF(A64&lt;0,'CAR PROMAX FILIAL CRUZ'!T58," ")</f>
        <v xml:space="preserve"> </v>
      </c>
      <c r="Q64" s="37" t="str">
        <f>IF(A64&lt;0,'CAR PROMAX FILIAL CRUZ'!U58," ")</f>
        <v xml:space="preserve"> </v>
      </c>
      <c r="R64" s="34" t="str">
        <f>IF(A64&lt;0,'CAR PROMAX FILIAL CRUZ'!V58," ")</f>
        <v xml:space="preserve"> </v>
      </c>
    </row>
    <row r="65" spans="1:18" x14ac:dyDescent="0.25">
      <c r="A65">
        <f>'CAR PROMAX FILIAL CRUZ'!O59</f>
        <v>3</v>
      </c>
      <c r="B65" s="15" t="str">
        <f t="shared" si="2"/>
        <v xml:space="preserve"> </v>
      </c>
      <c r="C65" s="33" t="str">
        <f t="shared" si="1"/>
        <v xml:space="preserve"> </v>
      </c>
      <c r="D65" s="34" t="str">
        <f>IF(A65&lt;0,'CAR PROMAX FILIAL CRUZ'!B59," ")</f>
        <v xml:space="preserve"> </v>
      </c>
      <c r="E65" s="35" t="str">
        <f>IF(A65&lt;0,'CAR PROMAX FILIAL CRUZ'!C59," ")</f>
        <v xml:space="preserve"> </v>
      </c>
      <c r="F65" s="34" t="str">
        <f>IF(A65&lt;0,'CAR PROMAX FILIAL CRUZ'!D59," ")</f>
        <v xml:space="preserve"> </v>
      </c>
      <c r="G65" s="34" t="str">
        <f>IF(A65&lt;0,'CAR PROMAX FILIAL CRUZ'!E59," ")</f>
        <v xml:space="preserve"> </v>
      </c>
      <c r="H65" s="34" t="str">
        <f>IF(A65&lt;0,'CAR PROMAX FILIAL CRUZ'!J59," ")</f>
        <v xml:space="preserve"> </v>
      </c>
      <c r="I65" s="34"/>
      <c r="J65" s="34"/>
      <c r="K65" s="34" t="str">
        <f>IF(A65&lt;0,'CAR PROMAX FILIAL CRUZ'!O59," ")</f>
        <v xml:space="preserve"> </v>
      </c>
      <c r="L65" s="36" t="str">
        <f>IF(A65&lt;0,'CAR PROMAX FILIAL CRUZ'!P59," ")</f>
        <v xml:space="preserve"> </v>
      </c>
      <c r="M65" s="36" t="str">
        <f>IF(A65&lt;0,'CAR PROMAX FILIAL CRUZ'!Q59," ")</f>
        <v xml:space="preserve"> </v>
      </c>
      <c r="N65" s="36" t="str">
        <f>IF(A65&lt;0,'CAR PROMAX FILIAL CRUZ'!R59," ")</f>
        <v xml:space="preserve"> </v>
      </c>
      <c r="O65" s="37" t="str">
        <f>IF(A65&lt;0,'CAR PROMAX FILIAL CRUZ'!S59," ")</f>
        <v xml:space="preserve"> </v>
      </c>
      <c r="P65" s="37" t="str">
        <f>IF(A65&lt;0,'CAR PROMAX FILIAL CRUZ'!T59," ")</f>
        <v xml:space="preserve"> </v>
      </c>
      <c r="Q65" s="37" t="str">
        <f>IF(A65&lt;0,'CAR PROMAX FILIAL CRUZ'!U59," ")</f>
        <v xml:space="preserve"> </v>
      </c>
      <c r="R65" s="34" t="str">
        <f>IF(A65&lt;0,'CAR PROMAX FILIAL CRUZ'!V59," ")</f>
        <v xml:space="preserve"> </v>
      </c>
    </row>
    <row r="66" spans="1:18" x14ac:dyDescent="0.25">
      <c r="A66">
        <f>'CAR PROMAX FILIAL CRUZ'!O60</f>
        <v>3</v>
      </c>
      <c r="B66" s="15" t="str">
        <f t="shared" si="2"/>
        <v xml:space="preserve"> </v>
      </c>
      <c r="C66" s="33" t="str">
        <f t="shared" si="1"/>
        <v xml:space="preserve"> </v>
      </c>
      <c r="D66" s="34" t="str">
        <f>IF(A66&lt;0,'CAR PROMAX FILIAL CRUZ'!B60," ")</f>
        <v xml:space="preserve"> </v>
      </c>
      <c r="E66" s="35" t="str">
        <f>IF(A66&lt;0,'CAR PROMAX FILIAL CRUZ'!C60," ")</f>
        <v xml:space="preserve"> </v>
      </c>
      <c r="F66" s="34" t="str">
        <f>IF(A66&lt;0,'CAR PROMAX FILIAL CRUZ'!D60," ")</f>
        <v xml:space="preserve"> </v>
      </c>
      <c r="G66" s="34" t="str">
        <f>IF(A66&lt;0,'CAR PROMAX FILIAL CRUZ'!E60," ")</f>
        <v xml:space="preserve"> </v>
      </c>
      <c r="H66" s="34" t="str">
        <f>IF(A66&lt;0,'CAR PROMAX FILIAL CRUZ'!J60," ")</f>
        <v xml:space="preserve"> </v>
      </c>
      <c r="I66" s="34"/>
      <c r="J66" s="34"/>
      <c r="K66" s="34" t="str">
        <f>IF(A66&lt;0,'CAR PROMAX FILIAL CRUZ'!O60," ")</f>
        <v xml:space="preserve"> </v>
      </c>
      <c r="L66" s="36" t="str">
        <f>IF(A66&lt;0,'CAR PROMAX FILIAL CRUZ'!P60," ")</f>
        <v xml:space="preserve"> </v>
      </c>
      <c r="M66" s="36" t="str">
        <f>IF(A66&lt;0,'CAR PROMAX FILIAL CRUZ'!Q60," ")</f>
        <v xml:space="preserve"> </v>
      </c>
      <c r="N66" s="36" t="str">
        <f>IF(A66&lt;0,'CAR PROMAX FILIAL CRUZ'!R60," ")</f>
        <v xml:space="preserve"> </v>
      </c>
      <c r="O66" s="37" t="str">
        <f>IF(A66&lt;0,'CAR PROMAX FILIAL CRUZ'!S60," ")</f>
        <v xml:space="preserve"> </v>
      </c>
      <c r="P66" s="37" t="str">
        <f>IF(A66&lt;0,'CAR PROMAX FILIAL CRUZ'!T60," ")</f>
        <v xml:space="preserve"> </v>
      </c>
      <c r="Q66" s="37" t="str">
        <f>IF(A66&lt;0,'CAR PROMAX FILIAL CRUZ'!U60," ")</f>
        <v xml:space="preserve"> </v>
      </c>
      <c r="R66" s="34" t="str">
        <f>IF(A66&lt;0,'CAR PROMAX FILIAL CRUZ'!V60," ")</f>
        <v xml:space="preserve"> </v>
      </c>
    </row>
    <row r="67" spans="1:18" x14ac:dyDescent="0.25">
      <c r="A67">
        <f>'CAR PROMAX FILIAL CRUZ'!O61</f>
        <v>3</v>
      </c>
      <c r="B67" s="15" t="str">
        <f t="shared" si="2"/>
        <v xml:space="preserve"> </v>
      </c>
      <c r="C67" s="33" t="str">
        <f t="shared" si="1"/>
        <v xml:space="preserve"> </v>
      </c>
      <c r="D67" s="34" t="str">
        <f>IF(A67&lt;0,'CAR PROMAX FILIAL CRUZ'!B61," ")</f>
        <v xml:space="preserve"> </v>
      </c>
      <c r="E67" s="35" t="str">
        <f>IF(A67&lt;0,'CAR PROMAX FILIAL CRUZ'!C61," ")</f>
        <v xml:space="preserve"> </v>
      </c>
      <c r="F67" s="34" t="str">
        <f>IF(A67&lt;0,'CAR PROMAX FILIAL CRUZ'!D61," ")</f>
        <v xml:space="preserve"> </v>
      </c>
      <c r="G67" s="34" t="str">
        <f>IF(A67&lt;0,'CAR PROMAX FILIAL CRUZ'!E61," ")</f>
        <v xml:space="preserve"> </v>
      </c>
      <c r="H67" s="34" t="str">
        <f>IF(A67&lt;0,'CAR PROMAX FILIAL CRUZ'!J61," ")</f>
        <v xml:space="preserve"> </v>
      </c>
      <c r="I67" s="34"/>
      <c r="J67" s="34"/>
      <c r="K67" s="34" t="str">
        <f>IF(A67&lt;0,'CAR PROMAX FILIAL CRUZ'!O61," ")</f>
        <v xml:space="preserve"> </v>
      </c>
      <c r="L67" s="36" t="str">
        <f>IF(A67&lt;0,'CAR PROMAX FILIAL CRUZ'!P61," ")</f>
        <v xml:space="preserve"> </v>
      </c>
      <c r="M67" s="36" t="str">
        <f>IF(A67&lt;0,'CAR PROMAX FILIAL CRUZ'!Q61," ")</f>
        <v xml:space="preserve"> </v>
      </c>
      <c r="N67" s="36" t="str">
        <f>IF(A67&lt;0,'CAR PROMAX FILIAL CRUZ'!R61," ")</f>
        <v xml:space="preserve"> </v>
      </c>
      <c r="O67" s="37" t="str">
        <f>IF(A67&lt;0,'CAR PROMAX FILIAL CRUZ'!S61," ")</f>
        <v xml:space="preserve"> </v>
      </c>
      <c r="P67" s="37" t="str">
        <f>IF(A67&lt;0,'CAR PROMAX FILIAL CRUZ'!T61," ")</f>
        <v xml:space="preserve"> </v>
      </c>
      <c r="Q67" s="37" t="str">
        <f>IF(A67&lt;0,'CAR PROMAX FILIAL CRUZ'!U61," ")</f>
        <v xml:space="preserve"> </v>
      </c>
      <c r="R67" s="34" t="str">
        <f>IF(A67&lt;0,'CAR PROMAX FILIAL CRUZ'!V61," ")</f>
        <v xml:space="preserve"> </v>
      </c>
    </row>
    <row r="68" spans="1:18" x14ac:dyDescent="0.25">
      <c r="A68">
        <f>'CAR PROMAX FILIAL CRUZ'!O62</f>
        <v>3</v>
      </c>
      <c r="B68" s="15" t="str">
        <f t="shared" si="2"/>
        <v xml:space="preserve"> </v>
      </c>
      <c r="C68" s="33" t="str">
        <f t="shared" si="1"/>
        <v xml:space="preserve"> </v>
      </c>
      <c r="D68" s="34" t="str">
        <f>IF(A68&lt;0,'CAR PROMAX FILIAL CRUZ'!B62," ")</f>
        <v xml:space="preserve"> </v>
      </c>
      <c r="E68" s="35" t="str">
        <f>IF(A68&lt;0,'CAR PROMAX FILIAL CRUZ'!C62," ")</f>
        <v xml:space="preserve"> </v>
      </c>
      <c r="F68" s="34" t="str">
        <f>IF(A68&lt;0,'CAR PROMAX FILIAL CRUZ'!D62," ")</f>
        <v xml:space="preserve"> </v>
      </c>
      <c r="G68" s="34" t="str">
        <f>IF(A68&lt;0,'CAR PROMAX FILIAL CRUZ'!E62," ")</f>
        <v xml:space="preserve"> </v>
      </c>
      <c r="H68" s="34" t="str">
        <f>IF(A68&lt;0,'CAR PROMAX FILIAL CRUZ'!J62," ")</f>
        <v xml:space="preserve"> </v>
      </c>
      <c r="I68" s="34"/>
      <c r="J68" s="34"/>
      <c r="K68" s="34" t="str">
        <f>IF(A68&lt;0,'CAR PROMAX FILIAL CRUZ'!O62," ")</f>
        <v xml:space="preserve"> </v>
      </c>
      <c r="L68" s="36" t="str">
        <f>IF(A68&lt;0,'CAR PROMAX FILIAL CRUZ'!P62," ")</f>
        <v xml:space="preserve"> </v>
      </c>
      <c r="M68" s="36" t="str">
        <f>IF(A68&lt;0,'CAR PROMAX FILIAL CRUZ'!Q62," ")</f>
        <v xml:space="preserve"> </v>
      </c>
      <c r="N68" s="36" t="str">
        <f>IF(A68&lt;0,'CAR PROMAX FILIAL CRUZ'!R62," ")</f>
        <v xml:space="preserve"> </v>
      </c>
      <c r="O68" s="37" t="str">
        <f>IF(A68&lt;0,'CAR PROMAX FILIAL CRUZ'!S62," ")</f>
        <v xml:space="preserve"> </v>
      </c>
      <c r="P68" s="37" t="str">
        <f>IF(A68&lt;0,'CAR PROMAX FILIAL CRUZ'!T62," ")</f>
        <v xml:space="preserve"> </v>
      </c>
      <c r="Q68" s="37" t="str">
        <f>IF(A68&lt;0,'CAR PROMAX FILIAL CRUZ'!U62," ")</f>
        <v xml:space="preserve"> </v>
      </c>
      <c r="R68" s="34" t="str">
        <f>IF(A68&lt;0,'CAR PROMAX FILIAL CRUZ'!V62," ")</f>
        <v xml:space="preserve"> </v>
      </c>
    </row>
    <row r="69" spans="1:18" x14ac:dyDescent="0.25">
      <c r="A69">
        <f>'CAR PROMAX FILIAL CRUZ'!O63</f>
        <v>3</v>
      </c>
      <c r="B69" s="15" t="str">
        <f t="shared" si="2"/>
        <v xml:space="preserve"> </v>
      </c>
      <c r="C69" s="33" t="str">
        <f t="shared" si="1"/>
        <v xml:space="preserve"> </v>
      </c>
      <c r="D69" s="34" t="str">
        <f>IF(A69&lt;0,'CAR PROMAX FILIAL CRUZ'!B63," ")</f>
        <v xml:space="preserve"> </v>
      </c>
      <c r="E69" s="35" t="str">
        <f>IF(A69&lt;0,'CAR PROMAX FILIAL CRUZ'!C63," ")</f>
        <v xml:space="preserve"> </v>
      </c>
      <c r="F69" s="34" t="str">
        <f>IF(A69&lt;0,'CAR PROMAX FILIAL CRUZ'!D63," ")</f>
        <v xml:space="preserve"> </v>
      </c>
      <c r="G69" s="34" t="str">
        <f>IF(A69&lt;0,'CAR PROMAX FILIAL CRUZ'!E63," ")</f>
        <v xml:space="preserve"> </v>
      </c>
      <c r="H69" s="34" t="str">
        <f>IF(A69&lt;0,'CAR PROMAX FILIAL CRUZ'!J63," ")</f>
        <v xml:space="preserve"> </v>
      </c>
      <c r="I69" s="34"/>
      <c r="J69" s="34"/>
      <c r="K69" s="34" t="str">
        <f>IF(A69&lt;0,'CAR PROMAX FILIAL CRUZ'!O63," ")</f>
        <v xml:space="preserve"> </v>
      </c>
      <c r="L69" s="36" t="str">
        <f>IF(A69&lt;0,'CAR PROMAX FILIAL CRUZ'!P63," ")</f>
        <v xml:space="preserve"> </v>
      </c>
      <c r="M69" s="36" t="str">
        <f>IF(A69&lt;0,'CAR PROMAX FILIAL CRUZ'!Q63," ")</f>
        <v xml:space="preserve"> </v>
      </c>
      <c r="N69" s="36" t="str">
        <f>IF(A69&lt;0,'CAR PROMAX FILIAL CRUZ'!R63," ")</f>
        <v xml:space="preserve"> </v>
      </c>
      <c r="O69" s="37" t="str">
        <f>IF(A69&lt;0,'CAR PROMAX FILIAL CRUZ'!S63," ")</f>
        <v xml:space="preserve"> </v>
      </c>
      <c r="P69" s="37" t="str">
        <f>IF(A69&lt;0,'CAR PROMAX FILIAL CRUZ'!T63," ")</f>
        <v xml:space="preserve"> </v>
      </c>
      <c r="Q69" s="37" t="str">
        <f>IF(A69&lt;0,'CAR PROMAX FILIAL CRUZ'!U63," ")</f>
        <v xml:space="preserve"> </v>
      </c>
      <c r="R69" s="34" t="str">
        <f>IF(A69&lt;0,'CAR PROMAX FILIAL CRUZ'!V63," ")</f>
        <v xml:space="preserve"> </v>
      </c>
    </row>
    <row r="70" spans="1:18" x14ac:dyDescent="0.25">
      <c r="A70">
        <f>'CAR PROMAX FILIAL CRUZ'!O64</f>
        <v>3</v>
      </c>
      <c r="B70" s="15" t="str">
        <f t="shared" si="2"/>
        <v xml:space="preserve"> </v>
      </c>
      <c r="C70" s="33" t="str">
        <f t="shared" si="1"/>
        <v xml:space="preserve"> </v>
      </c>
      <c r="D70" s="34" t="str">
        <f>IF(A70&lt;0,'CAR PROMAX FILIAL CRUZ'!B64," ")</f>
        <v xml:space="preserve"> </v>
      </c>
      <c r="E70" s="35" t="str">
        <f>IF(A70&lt;0,'CAR PROMAX FILIAL CRUZ'!C64," ")</f>
        <v xml:space="preserve"> </v>
      </c>
      <c r="F70" s="34" t="str">
        <f>IF(A70&lt;0,'CAR PROMAX FILIAL CRUZ'!D64," ")</f>
        <v xml:space="preserve"> </v>
      </c>
      <c r="G70" s="34" t="str">
        <f>IF(A70&lt;0,'CAR PROMAX FILIAL CRUZ'!E64," ")</f>
        <v xml:space="preserve"> </v>
      </c>
      <c r="H70" s="34" t="str">
        <f>IF(A70&lt;0,'CAR PROMAX FILIAL CRUZ'!J64," ")</f>
        <v xml:space="preserve"> </v>
      </c>
      <c r="I70" s="34"/>
      <c r="J70" s="34"/>
      <c r="K70" s="34" t="str">
        <f>IF(A70&lt;0,'CAR PROMAX FILIAL CRUZ'!O64," ")</f>
        <v xml:space="preserve"> </v>
      </c>
      <c r="L70" s="36" t="str">
        <f>IF(A70&lt;0,'CAR PROMAX FILIAL CRUZ'!P64," ")</f>
        <v xml:space="preserve"> </v>
      </c>
      <c r="M70" s="36" t="str">
        <f>IF(A70&lt;0,'CAR PROMAX FILIAL CRUZ'!Q64," ")</f>
        <v xml:space="preserve"> </v>
      </c>
      <c r="N70" s="36" t="str">
        <f>IF(A70&lt;0,'CAR PROMAX FILIAL CRUZ'!R64," ")</f>
        <v xml:space="preserve"> </v>
      </c>
      <c r="O70" s="37" t="str">
        <f>IF(A70&lt;0,'CAR PROMAX FILIAL CRUZ'!S64," ")</f>
        <v xml:space="preserve"> </v>
      </c>
      <c r="P70" s="37" t="str">
        <f>IF(A70&lt;0,'CAR PROMAX FILIAL CRUZ'!T64," ")</f>
        <v xml:space="preserve"> </v>
      </c>
      <c r="Q70" s="37" t="str">
        <f>IF(A70&lt;0,'CAR PROMAX FILIAL CRUZ'!U64," ")</f>
        <v xml:space="preserve"> </v>
      </c>
      <c r="R70" s="34" t="str">
        <f>IF(A70&lt;0,'CAR PROMAX FILIAL CRUZ'!V64," ")</f>
        <v xml:space="preserve"> </v>
      </c>
    </row>
    <row r="71" spans="1:18" x14ac:dyDescent="0.25">
      <c r="A71">
        <f>'CAR PROMAX FILIAL CRUZ'!O65</f>
        <v>3</v>
      </c>
      <c r="B71" s="15" t="str">
        <f t="shared" si="2"/>
        <v xml:space="preserve"> </v>
      </c>
      <c r="C71" s="33" t="str">
        <f t="shared" si="1"/>
        <v xml:space="preserve"> </v>
      </c>
      <c r="D71" s="34" t="str">
        <f>IF(A71&lt;0,'CAR PROMAX FILIAL CRUZ'!B65," ")</f>
        <v xml:space="preserve"> </v>
      </c>
      <c r="E71" s="35" t="str">
        <f>IF(A71&lt;0,'CAR PROMAX FILIAL CRUZ'!C65," ")</f>
        <v xml:space="preserve"> </v>
      </c>
      <c r="F71" s="34" t="str">
        <f>IF(A71&lt;0,'CAR PROMAX FILIAL CRUZ'!D65," ")</f>
        <v xml:space="preserve"> </v>
      </c>
      <c r="G71" s="34" t="str">
        <f>IF(A71&lt;0,'CAR PROMAX FILIAL CRUZ'!E65," ")</f>
        <v xml:space="preserve"> </v>
      </c>
      <c r="H71" s="34" t="str">
        <f>IF(A71&lt;0,'CAR PROMAX FILIAL CRUZ'!J65," ")</f>
        <v xml:space="preserve"> </v>
      </c>
      <c r="I71" s="34"/>
      <c r="J71" s="34"/>
      <c r="K71" s="34" t="str">
        <f>IF(A71&lt;0,'CAR PROMAX FILIAL CRUZ'!O65," ")</f>
        <v xml:space="preserve"> </v>
      </c>
      <c r="L71" s="36" t="str">
        <f>IF(A71&lt;0,'CAR PROMAX FILIAL CRUZ'!P65," ")</f>
        <v xml:space="preserve"> </v>
      </c>
      <c r="M71" s="36" t="str">
        <f>IF(A71&lt;0,'CAR PROMAX FILIAL CRUZ'!Q65," ")</f>
        <v xml:space="preserve"> </v>
      </c>
      <c r="N71" s="36" t="str">
        <f>IF(A71&lt;0,'CAR PROMAX FILIAL CRUZ'!R65," ")</f>
        <v xml:space="preserve"> </v>
      </c>
      <c r="O71" s="37" t="str">
        <f>IF(A71&lt;0,'CAR PROMAX FILIAL CRUZ'!S65," ")</f>
        <v xml:space="preserve"> </v>
      </c>
      <c r="P71" s="37" t="str">
        <f>IF(A71&lt;0,'CAR PROMAX FILIAL CRUZ'!T65," ")</f>
        <v xml:space="preserve"> </v>
      </c>
      <c r="Q71" s="37" t="str">
        <f>IF(A71&lt;0,'CAR PROMAX FILIAL CRUZ'!U65," ")</f>
        <v xml:space="preserve"> </v>
      </c>
      <c r="R71" s="34" t="str">
        <f>IF(A71&lt;0,'CAR PROMAX FILIAL CRUZ'!V65," ")</f>
        <v xml:space="preserve"> </v>
      </c>
    </row>
    <row r="72" spans="1:18" x14ac:dyDescent="0.25">
      <c r="A72">
        <f>'CAR PROMAX FILIAL CRUZ'!O66</f>
        <v>3</v>
      </c>
      <c r="B72" s="15" t="str">
        <f t="shared" ref="B72:B77" si="3">IF(K72&lt;0,IF(K72&gt;-31,"INAD.",IF(K72&gt;-76,"IREC.","PDD"))," ")</f>
        <v xml:space="preserve"> </v>
      </c>
      <c r="C72" s="33" t="str">
        <f t="shared" ref="C72:C135" si="4">IF(K72&lt;0,IF(K72&gt;-16,"RN",IF(K72&gt;-46,"GV","GC"))," ")</f>
        <v xml:space="preserve"> </v>
      </c>
      <c r="D72" s="34" t="str">
        <f>IF(A72&lt;0,'CAR PROMAX FILIAL CRUZ'!B66," ")</f>
        <v xml:space="preserve"> </v>
      </c>
      <c r="E72" s="35" t="str">
        <f>IF(A72&lt;0,'CAR PROMAX FILIAL CRUZ'!C66," ")</f>
        <v xml:space="preserve"> </v>
      </c>
      <c r="F72" s="34" t="str">
        <f>IF(A72&lt;0,'CAR PROMAX FILIAL CRUZ'!D66," ")</f>
        <v xml:space="preserve"> </v>
      </c>
      <c r="G72" s="34" t="str">
        <f>IF(A72&lt;0,'CAR PROMAX FILIAL CRUZ'!E66," ")</f>
        <v xml:space="preserve"> </v>
      </c>
      <c r="H72" s="34" t="str">
        <f>IF(A72&lt;0,'CAR PROMAX FILIAL CRUZ'!J66," ")</f>
        <v xml:space="preserve"> </v>
      </c>
      <c r="I72" s="34"/>
      <c r="J72" s="34"/>
      <c r="K72" s="34" t="str">
        <f>IF(A72&lt;0,'CAR PROMAX FILIAL CRUZ'!O66," ")</f>
        <v xml:space="preserve"> </v>
      </c>
      <c r="L72" s="36" t="str">
        <f>IF(A72&lt;0,'CAR PROMAX FILIAL CRUZ'!P66," ")</f>
        <v xml:space="preserve"> </v>
      </c>
      <c r="M72" s="36" t="str">
        <f>IF(A72&lt;0,'CAR PROMAX FILIAL CRUZ'!Q66," ")</f>
        <v xml:space="preserve"> </v>
      </c>
      <c r="N72" s="36" t="str">
        <f>IF(A72&lt;0,'CAR PROMAX FILIAL CRUZ'!R66," ")</f>
        <v xml:space="preserve"> </v>
      </c>
      <c r="O72" s="37" t="str">
        <f>IF(A72&lt;0,'CAR PROMAX FILIAL CRUZ'!S66," ")</f>
        <v xml:space="preserve"> </v>
      </c>
      <c r="P72" s="37" t="str">
        <f>IF(A72&lt;0,'CAR PROMAX FILIAL CRUZ'!T66," ")</f>
        <v xml:space="preserve"> </v>
      </c>
      <c r="Q72" s="37" t="str">
        <f>IF(A72&lt;0,'CAR PROMAX FILIAL CRUZ'!U66," ")</f>
        <v xml:space="preserve"> </v>
      </c>
      <c r="R72" s="34" t="str">
        <f>IF(A72&lt;0,'CAR PROMAX FILIAL CRUZ'!V66," ")</f>
        <v xml:space="preserve"> </v>
      </c>
    </row>
    <row r="73" spans="1:18" x14ac:dyDescent="0.25">
      <c r="A73">
        <f>'CAR PROMAX FILIAL CRUZ'!O67</f>
        <v>3</v>
      </c>
      <c r="B73" s="15" t="str">
        <f t="shared" si="3"/>
        <v xml:space="preserve"> </v>
      </c>
      <c r="C73" s="33" t="str">
        <f t="shared" si="4"/>
        <v xml:space="preserve"> </v>
      </c>
      <c r="D73" s="34" t="str">
        <f>IF(A73&lt;0,'CAR PROMAX FILIAL CRUZ'!B67," ")</f>
        <v xml:space="preserve"> </v>
      </c>
      <c r="E73" s="35" t="str">
        <f>IF(A73&lt;0,'CAR PROMAX FILIAL CRUZ'!C67," ")</f>
        <v xml:space="preserve"> </v>
      </c>
      <c r="F73" s="34" t="str">
        <f>IF(A73&lt;0,'CAR PROMAX FILIAL CRUZ'!D67," ")</f>
        <v xml:space="preserve"> </v>
      </c>
      <c r="G73" s="34" t="str">
        <f>IF(A73&lt;0,'CAR PROMAX FILIAL CRUZ'!E67," ")</f>
        <v xml:space="preserve"> </v>
      </c>
      <c r="H73" s="34" t="str">
        <f>IF(A73&lt;0,'CAR PROMAX FILIAL CRUZ'!J67," ")</f>
        <v xml:space="preserve"> </v>
      </c>
      <c r="I73" s="34"/>
      <c r="J73" s="34"/>
      <c r="K73" s="34" t="str">
        <f>IF(A73&lt;0,'CAR PROMAX FILIAL CRUZ'!O67," ")</f>
        <v xml:space="preserve"> </v>
      </c>
      <c r="L73" s="36" t="str">
        <f>IF(A73&lt;0,'CAR PROMAX FILIAL CRUZ'!P67," ")</f>
        <v xml:space="preserve"> </v>
      </c>
      <c r="M73" s="36" t="str">
        <f>IF(A73&lt;0,'CAR PROMAX FILIAL CRUZ'!Q67," ")</f>
        <v xml:space="preserve"> </v>
      </c>
      <c r="N73" s="36" t="str">
        <f>IF(A73&lt;0,'CAR PROMAX FILIAL CRUZ'!R67," ")</f>
        <v xml:space="preserve"> </v>
      </c>
      <c r="O73" s="37" t="str">
        <f>IF(A73&lt;0,'CAR PROMAX FILIAL CRUZ'!S67," ")</f>
        <v xml:space="preserve"> </v>
      </c>
      <c r="P73" s="37" t="str">
        <f>IF(A73&lt;0,'CAR PROMAX FILIAL CRUZ'!T67," ")</f>
        <v xml:space="preserve"> </v>
      </c>
      <c r="Q73" s="37" t="str">
        <f>IF(A73&lt;0,'CAR PROMAX FILIAL CRUZ'!U67," ")</f>
        <v xml:space="preserve"> </v>
      </c>
      <c r="R73" s="34" t="str">
        <f>IF(A73&lt;0,'CAR PROMAX FILIAL CRUZ'!V67," ")</f>
        <v xml:space="preserve"> </v>
      </c>
    </row>
    <row r="74" spans="1:18" x14ac:dyDescent="0.25">
      <c r="A74">
        <f>'CAR PROMAX FILIAL CRUZ'!O68</f>
        <v>3</v>
      </c>
      <c r="B74" s="15" t="str">
        <f t="shared" si="3"/>
        <v xml:space="preserve"> </v>
      </c>
      <c r="C74" s="33" t="str">
        <f t="shared" si="4"/>
        <v xml:space="preserve"> </v>
      </c>
      <c r="D74" s="34" t="str">
        <f>IF(A74&lt;0,'CAR PROMAX FILIAL CRUZ'!B68," ")</f>
        <v xml:space="preserve"> </v>
      </c>
      <c r="E74" s="35" t="str">
        <f>IF(A74&lt;0,'CAR PROMAX FILIAL CRUZ'!C68," ")</f>
        <v xml:space="preserve"> </v>
      </c>
      <c r="F74" s="34" t="str">
        <f>IF(A74&lt;0,'CAR PROMAX FILIAL CRUZ'!D68," ")</f>
        <v xml:space="preserve"> </v>
      </c>
      <c r="G74" s="34" t="str">
        <f>IF(A74&lt;0,'CAR PROMAX FILIAL CRUZ'!E68," ")</f>
        <v xml:space="preserve"> </v>
      </c>
      <c r="H74" s="34" t="str">
        <f>IF(A74&lt;0,'CAR PROMAX FILIAL CRUZ'!J68," ")</f>
        <v xml:space="preserve"> </v>
      </c>
      <c r="I74" s="34"/>
      <c r="J74" s="34"/>
      <c r="K74" s="34" t="str">
        <f>IF(A74&lt;0,'CAR PROMAX FILIAL CRUZ'!O68," ")</f>
        <v xml:space="preserve"> </v>
      </c>
      <c r="L74" s="36" t="str">
        <f>IF(A74&lt;0,'CAR PROMAX FILIAL CRUZ'!P68," ")</f>
        <v xml:space="preserve"> </v>
      </c>
      <c r="M74" s="36" t="str">
        <f>IF(A74&lt;0,'CAR PROMAX FILIAL CRUZ'!Q68," ")</f>
        <v xml:space="preserve"> </v>
      </c>
      <c r="N74" s="36" t="str">
        <f>IF(A74&lt;0,'CAR PROMAX FILIAL CRUZ'!R68," ")</f>
        <v xml:space="preserve"> </v>
      </c>
      <c r="O74" s="37" t="str">
        <f>IF(A74&lt;0,'CAR PROMAX FILIAL CRUZ'!S68," ")</f>
        <v xml:space="preserve"> </v>
      </c>
      <c r="P74" s="37" t="str">
        <f>IF(A74&lt;0,'CAR PROMAX FILIAL CRUZ'!T68," ")</f>
        <v xml:space="preserve"> </v>
      </c>
      <c r="Q74" s="37" t="str">
        <f>IF(A74&lt;0,'CAR PROMAX FILIAL CRUZ'!U68," ")</f>
        <v xml:space="preserve"> </v>
      </c>
      <c r="R74" s="34" t="str">
        <f>IF(A74&lt;0,'CAR PROMAX FILIAL CRUZ'!V68," ")</f>
        <v xml:space="preserve"> </v>
      </c>
    </row>
    <row r="75" spans="1:18" x14ac:dyDescent="0.25">
      <c r="A75">
        <f>'CAR PROMAX FILIAL CRUZ'!O69</f>
        <v>3</v>
      </c>
      <c r="B75" s="15" t="str">
        <f t="shared" si="3"/>
        <v xml:space="preserve"> </v>
      </c>
      <c r="C75" s="33" t="str">
        <f t="shared" si="4"/>
        <v xml:space="preserve"> </v>
      </c>
      <c r="D75" s="34" t="str">
        <f>IF(A75&lt;0,'CAR PROMAX FILIAL CRUZ'!B69," ")</f>
        <v xml:space="preserve"> </v>
      </c>
      <c r="E75" s="35" t="str">
        <f>IF(A75&lt;0,'CAR PROMAX FILIAL CRUZ'!C69," ")</f>
        <v xml:space="preserve"> </v>
      </c>
      <c r="F75" s="34" t="str">
        <f>IF(A75&lt;0,'CAR PROMAX FILIAL CRUZ'!D69," ")</f>
        <v xml:space="preserve"> </v>
      </c>
      <c r="G75" s="34" t="str">
        <f>IF(A75&lt;0,'CAR PROMAX FILIAL CRUZ'!E69," ")</f>
        <v xml:space="preserve"> </v>
      </c>
      <c r="H75" s="34" t="str">
        <f>IF(A75&lt;0,'CAR PROMAX FILIAL CRUZ'!J69," ")</f>
        <v xml:space="preserve"> </v>
      </c>
      <c r="I75" s="34"/>
      <c r="J75" s="34"/>
      <c r="K75" s="34" t="str">
        <f>IF(A75&lt;0,'CAR PROMAX FILIAL CRUZ'!O69," ")</f>
        <v xml:space="preserve"> </v>
      </c>
      <c r="L75" s="36" t="str">
        <f>IF(A75&lt;0,'CAR PROMAX FILIAL CRUZ'!P69," ")</f>
        <v xml:space="preserve"> </v>
      </c>
      <c r="M75" s="36" t="str">
        <f>IF(A75&lt;0,'CAR PROMAX FILIAL CRUZ'!Q69," ")</f>
        <v xml:space="preserve"> </v>
      </c>
      <c r="N75" s="36" t="str">
        <f>IF(A75&lt;0,'CAR PROMAX FILIAL CRUZ'!R69," ")</f>
        <v xml:space="preserve"> </v>
      </c>
      <c r="O75" s="37" t="str">
        <f>IF(A75&lt;0,'CAR PROMAX FILIAL CRUZ'!S69," ")</f>
        <v xml:space="preserve"> </v>
      </c>
      <c r="P75" s="37" t="str">
        <f>IF(A75&lt;0,'CAR PROMAX FILIAL CRUZ'!T69," ")</f>
        <v xml:space="preserve"> </v>
      </c>
      <c r="Q75" s="37" t="str">
        <f>IF(A75&lt;0,'CAR PROMAX FILIAL CRUZ'!U69," ")</f>
        <v xml:space="preserve"> </v>
      </c>
      <c r="R75" s="34" t="str">
        <f>IF(A75&lt;0,'CAR PROMAX FILIAL CRUZ'!V69," ")</f>
        <v xml:space="preserve"> </v>
      </c>
    </row>
    <row r="76" spans="1:18" x14ac:dyDescent="0.25">
      <c r="A76">
        <f>'CAR PROMAX FILIAL CRUZ'!O70</f>
        <v>3</v>
      </c>
      <c r="B76" s="15" t="str">
        <f t="shared" si="3"/>
        <v xml:space="preserve"> </v>
      </c>
      <c r="C76" s="33" t="str">
        <f t="shared" si="4"/>
        <v xml:space="preserve"> </v>
      </c>
      <c r="D76" s="34" t="str">
        <f>IF(A76&lt;0,'CAR PROMAX FILIAL CRUZ'!B70," ")</f>
        <v xml:space="preserve"> </v>
      </c>
      <c r="E76" s="35" t="str">
        <f>IF(A76&lt;0,'CAR PROMAX FILIAL CRUZ'!C70," ")</f>
        <v xml:space="preserve"> </v>
      </c>
      <c r="F76" s="34" t="str">
        <f>IF(A76&lt;0,'CAR PROMAX FILIAL CRUZ'!D70," ")</f>
        <v xml:space="preserve"> </v>
      </c>
      <c r="G76" s="34" t="str">
        <f>IF(A76&lt;0,'CAR PROMAX FILIAL CRUZ'!E70," ")</f>
        <v xml:space="preserve"> </v>
      </c>
      <c r="H76" s="34" t="str">
        <f>IF(A76&lt;0,'CAR PROMAX FILIAL CRUZ'!J70," ")</f>
        <v xml:space="preserve"> </v>
      </c>
      <c r="I76" s="34"/>
      <c r="J76" s="34"/>
      <c r="K76" s="34" t="str">
        <f>IF(A76&lt;0,'CAR PROMAX FILIAL CRUZ'!O70," ")</f>
        <v xml:space="preserve"> </v>
      </c>
      <c r="L76" s="36" t="str">
        <f>IF(A76&lt;0,'CAR PROMAX FILIAL CRUZ'!P70," ")</f>
        <v xml:space="preserve"> </v>
      </c>
      <c r="M76" s="36" t="str">
        <f>IF(A76&lt;0,'CAR PROMAX FILIAL CRUZ'!Q70," ")</f>
        <v xml:space="preserve"> </v>
      </c>
      <c r="N76" s="36" t="str">
        <f>IF(A76&lt;0,'CAR PROMAX FILIAL CRUZ'!R70," ")</f>
        <v xml:space="preserve"> </v>
      </c>
      <c r="O76" s="37" t="str">
        <f>IF(A76&lt;0,'CAR PROMAX FILIAL CRUZ'!S70," ")</f>
        <v xml:space="preserve"> </v>
      </c>
      <c r="P76" s="37" t="str">
        <f>IF(A76&lt;0,'CAR PROMAX FILIAL CRUZ'!T70," ")</f>
        <v xml:space="preserve"> </v>
      </c>
      <c r="Q76" s="37" t="str">
        <f>IF(A76&lt;0,'CAR PROMAX FILIAL CRUZ'!U70," ")</f>
        <v xml:space="preserve"> </v>
      </c>
      <c r="R76" s="34" t="str">
        <f>IF(A76&lt;0,'CAR PROMAX FILIAL CRUZ'!V70," ")</f>
        <v xml:space="preserve"> </v>
      </c>
    </row>
    <row r="77" spans="1:18" x14ac:dyDescent="0.25">
      <c r="A77">
        <f>'CAR PROMAX FILIAL CRUZ'!O71</f>
        <v>3</v>
      </c>
      <c r="B77" s="15" t="str">
        <f t="shared" si="3"/>
        <v xml:space="preserve"> </v>
      </c>
      <c r="C77" s="33" t="str">
        <f t="shared" si="4"/>
        <v xml:space="preserve"> </v>
      </c>
      <c r="D77" s="34" t="str">
        <f>IF(A77&lt;0,'CAR PROMAX FILIAL CRUZ'!B71," ")</f>
        <v xml:space="preserve"> </v>
      </c>
      <c r="E77" s="35" t="str">
        <f>IF(A77&lt;0,'CAR PROMAX FILIAL CRUZ'!C71," ")</f>
        <v xml:space="preserve"> </v>
      </c>
      <c r="F77" s="34" t="str">
        <f>IF(A77&lt;0,'CAR PROMAX FILIAL CRUZ'!D71," ")</f>
        <v xml:space="preserve"> </v>
      </c>
      <c r="G77" s="34" t="str">
        <f>IF(A77&lt;0,'CAR PROMAX FILIAL CRUZ'!E71," ")</f>
        <v xml:space="preserve"> </v>
      </c>
      <c r="H77" s="34" t="str">
        <f>IF(A77&lt;0,'CAR PROMAX FILIAL CRUZ'!J71," ")</f>
        <v xml:space="preserve"> </v>
      </c>
      <c r="I77" s="34"/>
      <c r="J77" s="34"/>
      <c r="K77" s="34" t="str">
        <f>IF(A77&lt;0,'CAR PROMAX FILIAL CRUZ'!O71," ")</f>
        <v xml:space="preserve"> </v>
      </c>
      <c r="L77" s="36" t="str">
        <f>IF(A77&lt;0,'CAR PROMAX FILIAL CRUZ'!P71," ")</f>
        <v xml:space="preserve"> </v>
      </c>
      <c r="M77" s="36" t="str">
        <f>IF(A77&lt;0,'CAR PROMAX FILIAL CRUZ'!Q71," ")</f>
        <v xml:space="preserve"> </v>
      </c>
      <c r="N77" s="36" t="str">
        <f>IF(A77&lt;0,'CAR PROMAX FILIAL CRUZ'!R71," ")</f>
        <v xml:space="preserve"> </v>
      </c>
      <c r="O77" s="37" t="str">
        <f>IF(A77&lt;0,'CAR PROMAX FILIAL CRUZ'!S71," ")</f>
        <v xml:space="preserve"> </v>
      </c>
      <c r="P77" s="37" t="str">
        <f>IF(A77&lt;0,'CAR PROMAX FILIAL CRUZ'!T71," ")</f>
        <v xml:space="preserve"> </v>
      </c>
      <c r="Q77" s="37" t="str">
        <f>IF(A77&lt;0,'CAR PROMAX FILIAL CRUZ'!U71," ")</f>
        <v xml:space="preserve"> </v>
      </c>
      <c r="R77" s="34" t="str">
        <f>IF(A77&lt;0,'CAR PROMAX FILIAL CRUZ'!V71," ")</f>
        <v xml:space="preserve"> </v>
      </c>
    </row>
    <row r="78" spans="1:18" x14ac:dyDescent="0.25">
      <c r="A78">
        <f>'CAR PROMAX FILIAL CRUZ'!O72</f>
        <v>3</v>
      </c>
      <c r="B78" s="33" t="str">
        <f t="shared" ref="B78:B141" si="5">IF(K78&lt;0,IF(K78&gt;-31,"INAD.",IF(K78&gt;-75,"IREC.","PDD"))," ")</f>
        <v xml:space="preserve"> </v>
      </c>
      <c r="C78" s="33" t="str">
        <f t="shared" si="4"/>
        <v xml:space="preserve"> </v>
      </c>
      <c r="D78" s="34" t="str">
        <f>IF(A78&lt;0,'CAR PROMAX FILIAL CRUZ'!B72," ")</f>
        <v xml:space="preserve"> </v>
      </c>
      <c r="E78" s="35" t="str">
        <f>IF(A78&lt;0,'CAR PROMAX FILIAL CRUZ'!C72," ")</f>
        <v xml:space="preserve"> </v>
      </c>
      <c r="F78" s="34" t="str">
        <f>IF(A78&lt;0,'CAR PROMAX FILIAL CRUZ'!D72," ")</f>
        <v xml:space="preserve"> </v>
      </c>
      <c r="G78" s="34" t="str">
        <f>IF(A78&lt;0,'CAR PROMAX FILIAL CRUZ'!E72," ")</f>
        <v xml:space="preserve"> </v>
      </c>
      <c r="H78" s="34" t="str">
        <f>IF(A78&lt;0,'CAR PROMAX FILIAL CRUZ'!J72," ")</f>
        <v xml:space="preserve"> </v>
      </c>
      <c r="I78" s="34"/>
      <c r="J78" s="34"/>
      <c r="K78" s="34" t="str">
        <f>IF(A78&lt;0,'CAR PROMAX FILIAL CRUZ'!O72," ")</f>
        <v xml:space="preserve"> </v>
      </c>
      <c r="L78" s="36" t="str">
        <f>IF(A78&lt;0,'CAR PROMAX FILIAL CRUZ'!P72," ")</f>
        <v xml:space="preserve"> </v>
      </c>
      <c r="M78" s="36" t="str">
        <f>IF(A78&lt;0,'CAR PROMAX FILIAL CRUZ'!Q72," ")</f>
        <v xml:space="preserve"> </v>
      </c>
      <c r="N78" s="36" t="str">
        <f>IF(A78&lt;0,'CAR PROMAX FILIAL CRUZ'!R72," ")</f>
        <v xml:space="preserve"> </v>
      </c>
      <c r="O78" s="37" t="str">
        <f>IF(A78&lt;0,'CAR PROMAX FILIAL CRUZ'!S72," ")</f>
        <v xml:space="preserve"> </v>
      </c>
      <c r="P78" s="37" t="str">
        <f>IF(A78&lt;0,'CAR PROMAX FILIAL CRUZ'!T72," ")</f>
        <v xml:space="preserve"> </v>
      </c>
      <c r="Q78" s="37" t="str">
        <f>IF(A78&lt;0,'CAR PROMAX FILIAL CRUZ'!U72," ")</f>
        <v xml:space="preserve"> </v>
      </c>
      <c r="R78" s="34" t="str">
        <f>IF(A78&lt;0,'CAR PROMAX FILIAL CRUZ'!V72," ")</f>
        <v xml:space="preserve"> </v>
      </c>
    </row>
    <row r="79" spans="1:18" x14ac:dyDescent="0.25">
      <c r="A79">
        <f>'CAR PROMAX FILIAL CRUZ'!O73</f>
        <v>3</v>
      </c>
      <c r="B79" s="33" t="str">
        <f t="shared" si="5"/>
        <v xml:space="preserve"> </v>
      </c>
      <c r="C79" s="33" t="str">
        <f t="shared" si="4"/>
        <v xml:space="preserve"> </v>
      </c>
      <c r="D79" s="34" t="str">
        <f>IF(A79&lt;0,'CAR PROMAX FILIAL CRUZ'!B73," ")</f>
        <v xml:space="preserve"> </v>
      </c>
      <c r="E79" s="35" t="str">
        <f>IF(A79&lt;0,'CAR PROMAX FILIAL CRUZ'!C73," ")</f>
        <v xml:space="preserve"> </v>
      </c>
      <c r="F79" s="34" t="str">
        <f>IF(A79&lt;0,'CAR PROMAX FILIAL CRUZ'!D73," ")</f>
        <v xml:space="preserve"> </v>
      </c>
      <c r="G79" s="34" t="str">
        <f>IF(A79&lt;0,'CAR PROMAX FILIAL CRUZ'!E73," ")</f>
        <v xml:space="preserve"> </v>
      </c>
      <c r="H79" s="34" t="str">
        <f>IF(A79&lt;0,'CAR PROMAX FILIAL CRUZ'!J73," ")</f>
        <v xml:space="preserve"> </v>
      </c>
      <c r="I79" s="34"/>
      <c r="J79" s="34"/>
      <c r="K79" s="34" t="str">
        <f>IF(A79&lt;0,'CAR PROMAX FILIAL CRUZ'!O73," ")</f>
        <v xml:space="preserve"> </v>
      </c>
      <c r="L79" s="36" t="str">
        <f>IF(A79&lt;0,'CAR PROMAX FILIAL CRUZ'!P73," ")</f>
        <v xml:space="preserve"> </v>
      </c>
      <c r="M79" s="36" t="str">
        <f>IF(A79&lt;0,'CAR PROMAX FILIAL CRUZ'!Q73," ")</f>
        <v xml:space="preserve"> </v>
      </c>
      <c r="N79" s="36" t="str">
        <f>IF(A79&lt;0,'CAR PROMAX FILIAL CRUZ'!R73," ")</f>
        <v xml:space="preserve"> </v>
      </c>
      <c r="O79" s="37" t="str">
        <f>IF(A79&lt;0,'CAR PROMAX FILIAL CRUZ'!S73," ")</f>
        <v xml:space="preserve"> </v>
      </c>
      <c r="P79" s="37" t="str">
        <f>IF(A79&lt;0,'CAR PROMAX FILIAL CRUZ'!T73," ")</f>
        <v xml:space="preserve"> </v>
      </c>
      <c r="Q79" s="37" t="str">
        <f>IF(A79&lt;0,'CAR PROMAX FILIAL CRUZ'!U73," ")</f>
        <v xml:space="preserve"> </v>
      </c>
      <c r="R79" s="34" t="str">
        <f>IF(A79&lt;0,'CAR PROMAX FILIAL CRUZ'!V73," ")</f>
        <v xml:space="preserve"> </v>
      </c>
    </row>
    <row r="80" spans="1:18" x14ac:dyDescent="0.25">
      <c r="A80">
        <f>'CAR PROMAX FILIAL CRUZ'!O74</f>
        <v>3</v>
      </c>
      <c r="B80" s="33" t="str">
        <f t="shared" si="5"/>
        <v xml:space="preserve"> </v>
      </c>
      <c r="C80" s="33" t="str">
        <f t="shared" si="4"/>
        <v xml:space="preserve"> </v>
      </c>
      <c r="D80" s="34" t="str">
        <f>IF(A80&lt;0,'CAR PROMAX FILIAL CRUZ'!B74," ")</f>
        <v xml:space="preserve"> </v>
      </c>
      <c r="E80" s="35" t="str">
        <f>IF(A80&lt;0,'CAR PROMAX FILIAL CRUZ'!C74," ")</f>
        <v xml:space="preserve"> </v>
      </c>
      <c r="F80" s="34" t="str">
        <f>IF(A80&lt;0,'CAR PROMAX FILIAL CRUZ'!D74," ")</f>
        <v xml:space="preserve"> </v>
      </c>
      <c r="G80" s="34" t="str">
        <f>IF(A80&lt;0,'CAR PROMAX FILIAL CRUZ'!E74," ")</f>
        <v xml:space="preserve"> </v>
      </c>
      <c r="H80" s="34" t="str">
        <f>IF(A80&lt;0,'CAR PROMAX FILIAL CRUZ'!J74," ")</f>
        <v xml:space="preserve"> </v>
      </c>
      <c r="I80" s="34"/>
      <c r="J80" s="34"/>
      <c r="K80" s="34" t="str">
        <f>IF(A80&lt;0,'CAR PROMAX FILIAL CRUZ'!O74," ")</f>
        <v xml:space="preserve"> </v>
      </c>
      <c r="L80" s="36" t="str">
        <f>IF(A80&lt;0,'CAR PROMAX FILIAL CRUZ'!P74," ")</f>
        <v xml:space="preserve"> </v>
      </c>
      <c r="M80" s="36" t="str">
        <f>IF(A80&lt;0,'CAR PROMAX FILIAL CRUZ'!Q74," ")</f>
        <v xml:space="preserve"> </v>
      </c>
      <c r="N80" s="36" t="str">
        <f>IF(A80&lt;0,'CAR PROMAX FILIAL CRUZ'!R74," ")</f>
        <v xml:space="preserve"> </v>
      </c>
      <c r="O80" s="37" t="str">
        <f>IF(A80&lt;0,'CAR PROMAX FILIAL CRUZ'!S74," ")</f>
        <v xml:space="preserve"> </v>
      </c>
      <c r="P80" s="37" t="str">
        <f>IF(A80&lt;0,'CAR PROMAX FILIAL CRUZ'!T74," ")</f>
        <v xml:space="preserve"> </v>
      </c>
      <c r="Q80" s="37" t="str">
        <f>IF(A80&lt;0,'CAR PROMAX FILIAL CRUZ'!U74," ")</f>
        <v xml:space="preserve"> </v>
      </c>
      <c r="R80" s="34" t="str">
        <f>IF(A80&lt;0,'CAR PROMAX FILIAL CRUZ'!V74," ")</f>
        <v xml:space="preserve"> </v>
      </c>
    </row>
    <row r="81" spans="1:18" x14ac:dyDescent="0.25">
      <c r="A81">
        <f>'CAR PROMAX FILIAL CRUZ'!O75</f>
        <v>3</v>
      </c>
      <c r="B81" s="33" t="str">
        <f t="shared" si="5"/>
        <v xml:space="preserve"> </v>
      </c>
      <c r="C81" s="33" t="str">
        <f t="shared" si="4"/>
        <v xml:space="preserve"> </v>
      </c>
      <c r="D81" s="34" t="str">
        <f>IF(A81&lt;0,'CAR PROMAX FILIAL CRUZ'!B75," ")</f>
        <v xml:space="preserve"> </v>
      </c>
      <c r="E81" s="35" t="str">
        <f>IF(A81&lt;0,'CAR PROMAX FILIAL CRUZ'!C75," ")</f>
        <v xml:space="preserve"> </v>
      </c>
      <c r="F81" s="34" t="str">
        <f>IF(A81&lt;0,'CAR PROMAX FILIAL CRUZ'!D75," ")</f>
        <v xml:space="preserve"> </v>
      </c>
      <c r="G81" s="34" t="str">
        <f>IF(A81&lt;0,'CAR PROMAX FILIAL CRUZ'!E75," ")</f>
        <v xml:space="preserve"> </v>
      </c>
      <c r="H81" s="34" t="str">
        <f>IF(A81&lt;0,'CAR PROMAX FILIAL CRUZ'!J75," ")</f>
        <v xml:space="preserve"> </v>
      </c>
      <c r="I81" s="34"/>
      <c r="J81" s="34"/>
      <c r="K81" s="34" t="str">
        <f>IF(A81&lt;0,'CAR PROMAX FILIAL CRUZ'!O75," ")</f>
        <v xml:space="preserve"> </v>
      </c>
      <c r="L81" s="36" t="str">
        <f>IF(A81&lt;0,'CAR PROMAX FILIAL CRUZ'!P75," ")</f>
        <v xml:space="preserve"> </v>
      </c>
      <c r="M81" s="36" t="str">
        <f>IF(A81&lt;0,'CAR PROMAX FILIAL CRUZ'!Q75," ")</f>
        <v xml:space="preserve"> </v>
      </c>
      <c r="N81" s="36" t="str">
        <f>IF(A81&lt;0,'CAR PROMAX FILIAL CRUZ'!R75," ")</f>
        <v xml:space="preserve"> </v>
      </c>
      <c r="O81" s="37" t="str">
        <f>IF(A81&lt;0,'CAR PROMAX FILIAL CRUZ'!S75," ")</f>
        <v xml:space="preserve"> </v>
      </c>
      <c r="P81" s="37" t="str">
        <f>IF(A81&lt;0,'CAR PROMAX FILIAL CRUZ'!T75," ")</f>
        <v xml:space="preserve"> </v>
      </c>
      <c r="Q81" s="37" t="str">
        <f>IF(A81&lt;0,'CAR PROMAX FILIAL CRUZ'!U75," ")</f>
        <v xml:space="preserve"> </v>
      </c>
      <c r="R81" s="34" t="str">
        <f>IF(A81&lt;0,'CAR PROMAX FILIAL CRUZ'!V75," ")</f>
        <v xml:space="preserve"> </v>
      </c>
    </row>
    <row r="82" spans="1:18" x14ac:dyDescent="0.25">
      <c r="A82">
        <f>'CAR PROMAX FILIAL CRUZ'!O76</f>
        <v>3</v>
      </c>
      <c r="B82" s="33" t="str">
        <f t="shared" si="5"/>
        <v xml:space="preserve"> </v>
      </c>
      <c r="C82" s="33" t="str">
        <f t="shared" si="4"/>
        <v xml:space="preserve"> </v>
      </c>
      <c r="D82" s="34" t="str">
        <f>IF(A82&lt;0,'CAR PROMAX FILIAL CRUZ'!B76," ")</f>
        <v xml:space="preserve"> </v>
      </c>
      <c r="E82" s="35" t="str">
        <f>IF(A82&lt;0,'CAR PROMAX FILIAL CRUZ'!C76," ")</f>
        <v xml:space="preserve"> </v>
      </c>
      <c r="F82" s="34" t="str">
        <f>IF(A82&lt;0,'CAR PROMAX FILIAL CRUZ'!D76," ")</f>
        <v xml:space="preserve"> </v>
      </c>
      <c r="G82" s="34" t="str">
        <f>IF(A82&lt;0,'CAR PROMAX FILIAL CRUZ'!E76," ")</f>
        <v xml:space="preserve"> </v>
      </c>
      <c r="H82" s="34" t="str">
        <f>IF(A82&lt;0,'CAR PROMAX FILIAL CRUZ'!J76," ")</f>
        <v xml:space="preserve"> </v>
      </c>
      <c r="I82" s="34"/>
      <c r="J82" s="34"/>
      <c r="K82" s="34" t="str">
        <f>IF(A82&lt;0,'CAR PROMAX FILIAL CRUZ'!O76," ")</f>
        <v xml:space="preserve"> </v>
      </c>
      <c r="L82" s="36" t="str">
        <f>IF(A82&lt;0,'CAR PROMAX FILIAL CRUZ'!P76," ")</f>
        <v xml:space="preserve"> </v>
      </c>
      <c r="M82" s="36" t="str">
        <f>IF(A82&lt;0,'CAR PROMAX FILIAL CRUZ'!Q76," ")</f>
        <v xml:space="preserve"> </v>
      </c>
      <c r="N82" s="36" t="str">
        <f>IF(A82&lt;0,'CAR PROMAX FILIAL CRUZ'!R76," ")</f>
        <v xml:space="preserve"> </v>
      </c>
      <c r="O82" s="37" t="str">
        <f>IF(A82&lt;0,'CAR PROMAX FILIAL CRUZ'!S76," ")</f>
        <v xml:space="preserve"> </v>
      </c>
      <c r="P82" s="37" t="str">
        <f>IF(A82&lt;0,'CAR PROMAX FILIAL CRUZ'!T76," ")</f>
        <v xml:space="preserve"> </v>
      </c>
      <c r="Q82" s="37" t="str">
        <f>IF(A82&lt;0,'CAR PROMAX FILIAL CRUZ'!U76," ")</f>
        <v xml:space="preserve"> </v>
      </c>
      <c r="R82" s="34" t="str">
        <f>IF(A82&lt;0,'CAR PROMAX FILIAL CRUZ'!V76," ")</f>
        <v xml:space="preserve"> </v>
      </c>
    </row>
    <row r="83" spans="1:18" x14ac:dyDescent="0.25">
      <c r="A83">
        <f>'CAR PROMAX FILIAL CRUZ'!O77</f>
        <v>3</v>
      </c>
      <c r="B83" s="33" t="str">
        <f t="shared" si="5"/>
        <v xml:space="preserve"> </v>
      </c>
      <c r="C83" s="33" t="str">
        <f t="shared" si="4"/>
        <v xml:space="preserve"> </v>
      </c>
      <c r="D83" s="34" t="str">
        <f>IF(A83&lt;0,'CAR PROMAX FILIAL CRUZ'!B77," ")</f>
        <v xml:space="preserve"> </v>
      </c>
      <c r="E83" s="35" t="str">
        <f>IF(A83&lt;0,'CAR PROMAX FILIAL CRUZ'!C77," ")</f>
        <v xml:space="preserve"> </v>
      </c>
      <c r="F83" s="34" t="str">
        <f>IF(A83&lt;0,'CAR PROMAX FILIAL CRUZ'!D77," ")</f>
        <v xml:space="preserve"> </v>
      </c>
      <c r="G83" s="34" t="str">
        <f>IF(A83&lt;0,'CAR PROMAX FILIAL CRUZ'!E77," ")</f>
        <v xml:space="preserve"> </v>
      </c>
      <c r="H83" s="34" t="str">
        <f>IF(A83&lt;0,'CAR PROMAX FILIAL CRUZ'!J77," ")</f>
        <v xml:space="preserve"> </v>
      </c>
      <c r="I83" s="34"/>
      <c r="J83" s="34"/>
      <c r="K83" s="34" t="str">
        <f>IF(A83&lt;0,'CAR PROMAX FILIAL CRUZ'!O77," ")</f>
        <v xml:space="preserve"> </v>
      </c>
      <c r="L83" s="36" t="str">
        <f>IF(A83&lt;0,'CAR PROMAX FILIAL CRUZ'!P77," ")</f>
        <v xml:space="preserve"> </v>
      </c>
      <c r="M83" s="36" t="str">
        <f>IF(A83&lt;0,'CAR PROMAX FILIAL CRUZ'!Q77," ")</f>
        <v xml:space="preserve"> </v>
      </c>
      <c r="N83" s="36" t="str">
        <f>IF(A83&lt;0,'CAR PROMAX FILIAL CRUZ'!R77," ")</f>
        <v xml:space="preserve"> </v>
      </c>
      <c r="O83" s="37" t="str">
        <f>IF(A83&lt;0,'CAR PROMAX FILIAL CRUZ'!S77," ")</f>
        <v xml:space="preserve"> </v>
      </c>
      <c r="P83" s="37" t="str">
        <f>IF(A83&lt;0,'CAR PROMAX FILIAL CRUZ'!T77," ")</f>
        <v xml:space="preserve"> </v>
      </c>
      <c r="Q83" s="37" t="str">
        <f>IF(A83&lt;0,'CAR PROMAX FILIAL CRUZ'!U77," ")</f>
        <v xml:space="preserve"> </v>
      </c>
      <c r="R83" s="34" t="str">
        <f>IF(A83&lt;0,'CAR PROMAX FILIAL CRUZ'!V77," ")</f>
        <v xml:space="preserve"> </v>
      </c>
    </row>
    <row r="84" spans="1:18" x14ac:dyDescent="0.25">
      <c r="A84">
        <f>'CAR PROMAX FILIAL CRUZ'!O78</f>
        <v>3</v>
      </c>
      <c r="B84" s="33" t="str">
        <f t="shared" si="5"/>
        <v xml:space="preserve"> </v>
      </c>
      <c r="C84" s="33" t="str">
        <f t="shared" si="4"/>
        <v xml:space="preserve"> </v>
      </c>
      <c r="D84" s="34" t="str">
        <f>IF(A84&lt;0,'CAR PROMAX FILIAL CRUZ'!B78," ")</f>
        <v xml:space="preserve"> </v>
      </c>
      <c r="E84" s="35" t="str">
        <f>IF(A84&lt;0,'CAR PROMAX FILIAL CRUZ'!C78," ")</f>
        <v xml:space="preserve"> </v>
      </c>
      <c r="F84" s="34" t="str">
        <f>IF(A84&lt;0,'CAR PROMAX FILIAL CRUZ'!D78," ")</f>
        <v xml:space="preserve"> </v>
      </c>
      <c r="G84" s="34" t="str">
        <f>IF(A84&lt;0,'CAR PROMAX FILIAL CRUZ'!E78," ")</f>
        <v xml:space="preserve"> </v>
      </c>
      <c r="H84" s="34" t="str">
        <f>IF(A84&lt;0,'CAR PROMAX FILIAL CRUZ'!J78," ")</f>
        <v xml:space="preserve"> </v>
      </c>
      <c r="I84" s="34"/>
      <c r="J84" s="34"/>
      <c r="K84" s="34" t="str">
        <f>IF(A84&lt;0,'CAR PROMAX FILIAL CRUZ'!O78," ")</f>
        <v xml:space="preserve"> </v>
      </c>
      <c r="L84" s="36" t="str">
        <f>IF(A84&lt;0,'CAR PROMAX FILIAL CRUZ'!P78," ")</f>
        <v xml:space="preserve"> </v>
      </c>
      <c r="M84" s="36" t="str">
        <f>IF(A84&lt;0,'CAR PROMAX FILIAL CRUZ'!Q78," ")</f>
        <v xml:space="preserve"> </v>
      </c>
      <c r="N84" s="36" t="str">
        <f>IF(A84&lt;0,'CAR PROMAX FILIAL CRUZ'!R78," ")</f>
        <v xml:space="preserve"> </v>
      </c>
      <c r="O84" s="37" t="str">
        <f>IF(A84&lt;0,'CAR PROMAX FILIAL CRUZ'!S78," ")</f>
        <v xml:space="preserve"> </v>
      </c>
      <c r="P84" s="37" t="str">
        <f>IF(A84&lt;0,'CAR PROMAX FILIAL CRUZ'!T78," ")</f>
        <v xml:space="preserve"> </v>
      </c>
      <c r="Q84" s="37" t="str">
        <f>IF(A84&lt;0,'CAR PROMAX FILIAL CRUZ'!U78," ")</f>
        <v xml:space="preserve"> </v>
      </c>
      <c r="R84" s="34" t="str">
        <f>IF(A84&lt;0,'CAR PROMAX FILIAL CRUZ'!V78," ")</f>
        <v xml:space="preserve"> </v>
      </c>
    </row>
    <row r="85" spans="1:18" x14ac:dyDescent="0.25">
      <c r="A85">
        <f>'CAR PROMAX FILIAL CRUZ'!O79</f>
        <v>3</v>
      </c>
      <c r="B85" s="33" t="str">
        <f t="shared" si="5"/>
        <v xml:space="preserve"> </v>
      </c>
      <c r="C85" s="33" t="str">
        <f t="shared" si="4"/>
        <v xml:space="preserve"> </v>
      </c>
      <c r="D85" s="34" t="str">
        <f>IF(A85&lt;0,'CAR PROMAX FILIAL CRUZ'!B79," ")</f>
        <v xml:space="preserve"> </v>
      </c>
      <c r="E85" s="35" t="str">
        <f>IF(A85&lt;0,'CAR PROMAX FILIAL CRUZ'!C79," ")</f>
        <v xml:space="preserve"> </v>
      </c>
      <c r="F85" s="34" t="str">
        <f>IF(A85&lt;0,'CAR PROMAX FILIAL CRUZ'!D79," ")</f>
        <v xml:space="preserve"> </v>
      </c>
      <c r="G85" s="34" t="str">
        <f>IF(A85&lt;0,'CAR PROMAX FILIAL CRUZ'!E79," ")</f>
        <v xml:space="preserve"> </v>
      </c>
      <c r="H85" s="34" t="str">
        <f>IF(A85&lt;0,'CAR PROMAX FILIAL CRUZ'!J79," ")</f>
        <v xml:space="preserve"> </v>
      </c>
      <c r="I85" s="34"/>
      <c r="J85" s="34"/>
      <c r="K85" s="34" t="str">
        <f>IF(A85&lt;0,'CAR PROMAX FILIAL CRUZ'!O79," ")</f>
        <v xml:space="preserve"> </v>
      </c>
      <c r="L85" s="36" t="str">
        <f>IF(A85&lt;0,'CAR PROMAX FILIAL CRUZ'!P79," ")</f>
        <v xml:space="preserve"> </v>
      </c>
      <c r="M85" s="36" t="str">
        <f>IF(A85&lt;0,'CAR PROMAX FILIAL CRUZ'!Q79," ")</f>
        <v xml:space="preserve"> </v>
      </c>
      <c r="N85" s="36" t="str">
        <f>IF(A85&lt;0,'CAR PROMAX FILIAL CRUZ'!R79," ")</f>
        <v xml:space="preserve"> </v>
      </c>
      <c r="O85" s="37" t="str">
        <f>IF(A85&lt;0,'CAR PROMAX FILIAL CRUZ'!S79," ")</f>
        <v xml:space="preserve"> </v>
      </c>
      <c r="P85" s="37" t="str">
        <f>IF(A85&lt;0,'CAR PROMAX FILIAL CRUZ'!T79," ")</f>
        <v xml:space="preserve"> </v>
      </c>
      <c r="Q85" s="37" t="str">
        <f>IF(A85&lt;0,'CAR PROMAX FILIAL CRUZ'!U79," ")</f>
        <v xml:space="preserve"> </v>
      </c>
      <c r="R85" s="34" t="str">
        <f>IF(A85&lt;0,'CAR PROMAX FILIAL CRUZ'!V79," ")</f>
        <v xml:space="preserve"> </v>
      </c>
    </row>
    <row r="86" spans="1:18" x14ac:dyDescent="0.25">
      <c r="A86">
        <f>'CAR PROMAX FILIAL CRUZ'!O80</f>
        <v>3</v>
      </c>
      <c r="B86" s="33" t="str">
        <f t="shared" si="5"/>
        <v xml:space="preserve"> </v>
      </c>
      <c r="C86" s="33" t="str">
        <f t="shared" si="4"/>
        <v xml:space="preserve"> </v>
      </c>
      <c r="D86" s="34" t="str">
        <f>IF(A86&lt;0,'CAR PROMAX FILIAL CRUZ'!B80," ")</f>
        <v xml:space="preserve"> </v>
      </c>
      <c r="E86" s="35" t="str">
        <f>IF(A86&lt;0,'CAR PROMAX FILIAL CRUZ'!C80," ")</f>
        <v xml:space="preserve"> </v>
      </c>
      <c r="F86" s="34" t="str">
        <f>IF(A86&lt;0,'CAR PROMAX FILIAL CRUZ'!D80," ")</f>
        <v xml:space="preserve"> </v>
      </c>
      <c r="G86" s="34" t="str">
        <f>IF(A86&lt;0,'CAR PROMAX FILIAL CRUZ'!E80," ")</f>
        <v xml:space="preserve"> </v>
      </c>
      <c r="H86" s="34" t="str">
        <f>IF(A86&lt;0,'CAR PROMAX FILIAL CRUZ'!J80," ")</f>
        <v xml:space="preserve"> </v>
      </c>
      <c r="I86" s="34"/>
      <c r="J86" s="34"/>
      <c r="K86" s="34" t="str">
        <f>IF(A86&lt;0,'CAR PROMAX FILIAL CRUZ'!O80," ")</f>
        <v xml:space="preserve"> </v>
      </c>
      <c r="L86" s="36" t="str">
        <f>IF(A86&lt;0,'CAR PROMAX FILIAL CRUZ'!P80," ")</f>
        <v xml:space="preserve"> </v>
      </c>
      <c r="M86" s="36" t="str">
        <f>IF(A86&lt;0,'CAR PROMAX FILIAL CRUZ'!Q80," ")</f>
        <v xml:space="preserve"> </v>
      </c>
      <c r="N86" s="36" t="str">
        <f>IF(A86&lt;0,'CAR PROMAX FILIAL CRUZ'!R80," ")</f>
        <v xml:space="preserve"> </v>
      </c>
      <c r="O86" s="37" t="str">
        <f>IF(A86&lt;0,'CAR PROMAX FILIAL CRUZ'!S80," ")</f>
        <v xml:space="preserve"> </v>
      </c>
      <c r="P86" s="37" t="str">
        <f>IF(A86&lt;0,'CAR PROMAX FILIAL CRUZ'!T80," ")</f>
        <v xml:space="preserve"> </v>
      </c>
      <c r="Q86" s="37" t="str">
        <f>IF(A86&lt;0,'CAR PROMAX FILIAL CRUZ'!U80," ")</f>
        <v xml:space="preserve"> </v>
      </c>
      <c r="R86" s="34" t="str">
        <f>IF(A86&lt;0,'CAR PROMAX FILIAL CRUZ'!V80," ")</f>
        <v xml:space="preserve"> </v>
      </c>
    </row>
    <row r="87" spans="1:18" x14ac:dyDescent="0.25">
      <c r="A87">
        <f>'CAR PROMAX FILIAL CRUZ'!O81</f>
        <v>3</v>
      </c>
      <c r="B87" s="33" t="str">
        <f t="shared" si="5"/>
        <v xml:space="preserve"> </v>
      </c>
      <c r="C87" s="33" t="str">
        <f t="shared" si="4"/>
        <v xml:space="preserve"> </v>
      </c>
      <c r="D87" s="34" t="str">
        <f>IF(A87&lt;0,'CAR PROMAX FILIAL CRUZ'!B81," ")</f>
        <v xml:space="preserve"> </v>
      </c>
      <c r="E87" s="35" t="str">
        <f>IF(A87&lt;0,'CAR PROMAX FILIAL CRUZ'!C81," ")</f>
        <v xml:space="preserve"> </v>
      </c>
      <c r="F87" s="34" t="str">
        <f>IF(A87&lt;0,'CAR PROMAX FILIAL CRUZ'!D81," ")</f>
        <v xml:space="preserve"> </v>
      </c>
      <c r="G87" s="34" t="str">
        <f>IF(A87&lt;0,'CAR PROMAX FILIAL CRUZ'!E81," ")</f>
        <v xml:space="preserve"> </v>
      </c>
      <c r="H87" s="34" t="str">
        <f>IF(A87&lt;0,'CAR PROMAX FILIAL CRUZ'!J81," ")</f>
        <v xml:space="preserve"> </v>
      </c>
      <c r="I87" s="34"/>
      <c r="J87" s="34"/>
      <c r="K87" s="34" t="str">
        <f>IF(A87&lt;0,'CAR PROMAX FILIAL CRUZ'!O81," ")</f>
        <v xml:space="preserve"> </v>
      </c>
      <c r="L87" s="36" t="str">
        <f>IF(A87&lt;0,'CAR PROMAX FILIAL CRUZ'!P81," ")</f>
        <v xml:space="preserve"> </v>
      </c>
      <c r="M87" s="36" t="str">
        <f>IF(A87&lt;0,'CAR PROMAX FILIAL CRUZ'!Q81," ")</f>
        <v xml:space="preserve"> </v>
      </c>
      <c r="N87" s="36" t="str">
        <f>IF(A87&lt;0,'CAR PROMAX FILIAL CRUZ'!R81," ")</f>
        <v xml:space="preserve"> </v>
      </c>
      <c r="O87" s="37" t="str">
        <f>IF(A87&lt;0,'CAR PROMAX FILIAL CRUZ'!S81," ")</f>
        <v xml:space="preserve"> </v>
      </c>
      <c r="P87" s="37" t="str">
        <f>IF(A87&lt;0,'CAR PROMAX FILIAL CRUZ'!T81," ")</f>
        <v xml:space="preserve"> </v>
      </c>
      <c r="Q87" s="37" t="str">
        <f>IF(A87&lt;0,'CAR PROMAX FILIAL CRUZ'!U81," ")</f>
        <v xml:space="preserve"> </v>
      </c>
      <c r="R87" s="34" t="str">
        <f>IF(A87&lt;0,'CAR PROMAX FILIAL CRUZ'!V81," ")</f>
        <v xml:space="preserve"> </v>
      </c>
    </row>
    <row r="88" spans="1:18" x14ac:dyDescent="0.25">
      <c r="A88">
        <f>'CAR PROMAX FILIAL CRUZ'!O82</f>
        <v>3</v>
      </c>
      <c r="B88" s="33" t="str">
        <f t="shared" si="5"/>
        <v xml:space="preserve"> </v>
      </c>
      <c r="C88" s="33" t="str">
        <f t="shared" si="4"/>
        <v xml:space="preserve"> </v>
      </c>
      <c r="D88" s="34" t="str">
        <f>IF(A88&lt;0,'CAR PROMAX FILIAL CRUZ'!B82," ")</f>
        <v xml:space="preserve"> </v>
      </c>
      <c r="E88" s="35" t="str">
        <f>IF(A88&lt;0,'CAR PROMAX FILIAL CRUZ'!C82," ")</f>
        <v xml:space="preserve"> </v>
      </c>
      <c r="F88" s="34" t="str">
        <f>IF(A88&lt;0,'CAR PROMAX FILIAL CRUZ'!D82," ")</f>
        <v xml:space="preserve"> </v>
      </c>
      <c r="G88" s="34" t="str">
        <f>IF(A88&lt;0,'CAR PROMAX FILIAL CRUZ'!E82," ")</f>
        <v xml:space="preserve"> </v>
      </c>
      <c r="H88" s="34" t="str">
        <f>IF(A88&lt;0,'CAR PROMAX FILIAL CRUZ'!J82," ")</f>
        <v xml:space="preserve"> </v>
      </c>
      <c r="I88" s="34"/>
      <c r="J88" s="34"/>
      <c r="K88" s="34" t="str">
        <f>IF(A88&lt;0,'CAR PROMAX FILIAL CRUZ'!O82," ")</f>
        <v xml:space="preserve"> </v>
      </c>
      <c r="L88" s="36" t="str">
        <f>IF(A88&lt;0,'CAR PROMAX FILIAL CRUZ'!P82," ")</f>
        <v xml:space="preserve"> </v>
      </c>
      <c r="M88" s="36" t="str">
        <f>IF(A88&lt;0,'CAR PROMAX FILIAL CRUZ'!Q82," ")</f>
        <v xml:space="preserve"> </v>
      </c>
      <c r="N88" s="36" t="str">
        <f>IF(A88&lt;0,'CAR PROMAX FILIAL CRUZ'!R82," ")</f>
        <v xml:space="preserve"> </v>
      </c>
      <c r="O88" s="37" t="str">
        <f>IF(A88&lt;0,'CAR PROMAX FILIAL CRUZ'!S82," ")</f>
        <v xml:space="preserve"> </v>
      </c>
      <c r="P88" s="37" t="str">
        <f>IF(A88&lt;0,'CAR PROMAX FILIAL CRUZ'!T82," ")</f>
        <v xml:space="preserve"> </v>
      </c>
      <c r="Q88" s="37" t="str">
        <f>IF(A88&lt;0,'CAR PROMAX FILIAL CRUZ'!U82," ")</f>
        <v xml:space="preserve"> </v>
      </c>
      <c r="R88" s="34" t="str">
        <f>IF(A88&lt;0,'CAR PROMAX FILIAL CRUZ'!V82," ")</f>
        <v xml:space="preserve"> </v>
      </c>
    </row>
    <row r="89" spans="1:18" x14ac:dyDescent="0.25">
      <c r="A89">
        <f>'CAR PROMAX FILIAL CRUZ'!O83</f>
        <v>3</v>
      </c>
      <c r="B89" s="33" t="str">
        <f t="shared" si="5"/>
        <v xml:space="preserve"> </v>
      </c>
      <c r="C89" s="33" t="str">
        <f t="shared" si="4"/>
        <v xml:space="preserve"> </v>
      </c>
      <c r="D89" s="34" t="str">
        <f>IF(A89&lt;0,'CAR PROMAX FILIAL CRUZ'!B83," ")</f>
        <v xml:space="preserve"> </v>
      </c>
      <c r="E89" s="35" t="str">
        <f>IF(A89&lt;0,'CAR PROMAX FILIAL CRUZ'!C83," ")</f>
        <v xml:space="preserve"> </v>
      </c>
      <c r="F89" s="34" t="str">
        <f>IF(A89&lt;0,'CAR PROMAX FILIAL CRUZ'!D83," ")</f>
        <v xml:space="preserve"> </v>
      </c>
      <c r="G89" s="34" t="str">
        <f>IF(A89&lt;0,'CAR PROMAX FILIAL CRUZ'!E83," ")</f>
        <v xml:space="preserve"> </v>
      </c>
      <c r="H89" s="34" t="str">
        <f>IF(A89&lt;0,'CAR PROMAX FILIAL CRUZ'!J83," ")</f>
        <v xml:space="preserve"> </v>
      </c>
      <c r="I89" s="34"/>
      <c r="J89" s="34"/>
      <c r="K89" s="34" t="str">
        <f>IF(A89&lt;0,'CAR PROMAX FILIAL CRUZ'!O83," ")</f>
        <v xml:space="preserve"> </v>
      </c>
      <c r="L89" s="36" t="str">
        <f>IF(A89&lt;0,'CAR PROMAX FILIAL CRUZ'!P83," ")</f>
        <v xml:space="preserve"> </v>
      </c>
      <c r="M89" s="36" t="str">
        <f>IF(A89&lt;0,'CAR PROMAX FILIAL CRUZ'!Q83," ")</f>
        <v xml:space="preserve"> </v>
      </c>
      <c r="N89" s="36" t="str">
        <f>IF(A89&lt;0,'CAR PROMAX FILIAL CRUZ'!R83," ")</f>
        <v xml:space="preserve"> </v>
      </c>
      <c r="O89" s="37" t="str">
        <f>IF(A89&lt;0,'CAR PROMAX FILIAL CRUZ'!S83," ")</f>
        <v xml:space="preserve"> </v>
      </c>
      <c r="P89" s="37" t="str">
        <f>IF(A89&lt;0,'CAR PROMAX FILIAL CRUZ'!T83," ")</f>
        <v xml:space="preserve"> </v>
      </c>
      <c r="Q89" s="37" t="str">
        <f>IF(A89&lt;0,'CAR PROMAX FILIAL CRUZ'!U83," ")</f>
        <v xml:space="preserve"> </v>
      </c>
      <c r="R89" s="34" t="str">
        <f>IF(A89&lt;0,'CAR PROMAX FILIAL CRUZ'!V83," ")</f>
        <v xml:space="preserve"> </v>
      </c>
    </row>
    <row r="90" spans="1:18" x14ac:dyDescent="0.25">
      <c r="A90">
        <f>'CAR PROMAX FILIAL CRUZ'!O84</f>
        <v>3</v>
      </c>
      <c r="B90" s="33" t="str">
        <f t="shared" si="5"/>
        <v xml:space="preserve"> </v>
      </c>
      <c r="C90" s="33" t="str">
        <f t="shared" si="4"/>
        <v xml:space="preserve"> </v>
      </c>
      <c r="D90" s="34" t="str">
        <f>IF(A90&lt;0,'CAR PROMAX FILIAL CRUZ'!B84," ")</f>
        <v xml:space="preserve"> </v>
      </c>
      <c r="E90" s="35" t="str">
        <f>IF(A90&lt;0,'CAR PROMAX FILIAL CRUZ'!C84," ")</f>
        <v xml:space="preserve"> </v>
      </c>
      <c r="F90" s="34" t="str">
        <f>IF(A90&lt;0,'CAR PROMAX FILIAL CRUZ'!D84," ")</f>
        <v xml:space="preserve"> </v>
      </c>
      <c r="G90" s="34" t="str">
        <f>IF(A90&lt;0,'CAR PROMAX FILIAL CRUZ'!E84," ")</f>
        <v xml:space="preserve"> </v>
      </c>
      <c r="H90" s="34" t="str">
        <f>IF(A90&lt;0,'CAR PROMAX FILIAL CRUZ'!J84," ")</f>
        <v xml:space="preserve"> </v>
      </c>
      <c r="I90" s="34"/>
      <c r="J90" s="34"/>
      <c r="K90" s="34" t="str">
        <f>IF(A90&lt;0,'CAR PROMAX FILIAL CRUZ'!O84," ")</f>
        <v xml:space="preserve"> </v>
      </c>
      <c r="L90" s="36" t="str">
        <f>IF(A90&lt;0,'CAR PROMAX FILIAL CRUZ'!P84," ")</f>
        <v xml:space="preserve"> </v>
      </c>
      <c r="M90" s="36" t="str">
        <f>IF(A90&lt;0,'CAR PROMAX FILIAL CRUZ'!Q84," ")</f>
        <v xml:space="preserve"> </v>
      </c>
      <c r="N90" s="36" t="str">
        <f>IF(A90&lt;0,'CAR PROMAX FILIAL CRUZ'!R84," ")</f>
        <v xml:space="preserve"> </v>
      </c>
      <c r="O90" s="37" t="str">
        <f>IF(A90&lt;0,'CAR PROMAX FILIAL CRUZ'!S84," ")</f>
        <v xml:space="preserve"> </v>
      </c>
      <c r="P90" s="37" t="str">
        <f>IF(A90&lt;0,'CAR PROMAX FILIAL CRUZ'!T84," ")</f>
        <v xml:space="preserve"> </v>
      </c>
      <c r="Q90" s="37" t="str">
        <f>IF(A90&lt;0,'CAR PROMAX FILIAL CRUZ'!U84," ")</f>
        <v xml:space="preserve"> </v>
      </c>
      <c r="R90" s="34" t="str">
        <f>IF(A90&lt;0,'CAR PROMAX FILIAL CRUZ'!V84," ")</f>
        <v xml:space="preserve"> </v>
      </c>
    </row>
    <row r="91" spans="1:18" x14ac:dyDescent="0.25">
      <c r="A91">
        <f>'CAR PROMAX FILIAL CRUZ'!O85</f>
        <v>3</v>
      </c>
      <c r="B91" s="33" t="str">
        <f t="shared" si="5"/>
        <v xml:space="preserve"> </v>
      </c>
      <c r="C91" s="33" t="str">
        <f t="shared" si="4"/>
        <v xml:space="preserve"> </v>
      </c>
      <c r="D91" s="34" t="str">
        <f>IF(A91&lt;0,'CAR PROMAX FILIAL CRUZ'!B85," ")</f>
        <v xml:space="preserve"> </v>
      </c>
      <c r="E91" s="35" t="str">
        <f>IF(A91&lt;0,'CAR PROMAX FILIAL CRUZ'!C85," ")</f>
        <v xml:space="preserve"> </v>
      </c>
      <c r="F91" s="34" t="str">
        <f>IF(A91&lt;0,'CAR PROMAX FILIAL CRUZ'!D85," ")</f>
        <v xml:space="preserve"> </v>
      </c>
      <c r="G91" s="34" t="str">
        <f>IF(A91&lt;0,'CAR PROMAX FILIAL CRUZ'!E85," ")</f>
        <v xml:space="preserve"> </v>
      </c>
      <c r="H91" s="34" t="str">
        <f>IF(A91&lt;0,'CAR PROMAX FILIAL CRUZ'!J85," ")</f>
        <v xml:space="preserve"> </v>
      </c>
      <c r="I91" s="34"/>
      <c r="J91" s="34"/>
      <c r="K91" s="34" t="str">
        <f>IF(A91&lt;0,'CAR PROMAX FILIAL CRUZ'!O85," ")</f>
        <v xml:space="preserve"> </v>
      </c>
      <c r="L91" s="36" t="str">
        <f>IF(A91&lt;0,'CAR PROMAX FILIAL CRUZ'!P85," ")</f>
        <v xml:space="preserve"> </v>
      </c>
      <c r="M91" s="36" t="str">
        <f>IF(A91&lt;0,'CAR PROMAX FILIAL CRUZ'!Q85," ")</f>
        <v xml:space="preserve"> </v>
      </c>
      <c r="N91" s="36" t="str">
        <f>IF(A91&lt;0,'CAR PROMAX FILIAL CRUZ'!R85," ")</f>
        <v xml:space="preserve"> </v>
      </c>
      <c r="O91" s="37" t="str">
        <f>IF(A91&lt;0,'CAR PROMAX FILIAL CRUZ'!S85," ")</f>
        <v xml:space="preserve"> </v>
      </c>
      <c r="P91" s="37" t="str">
        <f>IF(A91&lt;0,'CAR PROMAX FILIAL CRUZ'!T85," ")</f>
        <v xml:space="preserve"> </v>
      </c>
      <c r="Q91" s="37" t="str">
        <f>IF(A91&lt;0,'CAR PROMAX FILIAL CRUZ'!U85," ")</f>
        <v xml:space="preserve"> </v>
      </c>
      <c r="R91" s="34" t="str">
        <f>IF(A91&lt;0,'CAR PROMAX FILIAL CRUZ'!V85," ")</f>
        <v xml:space="preserve"> </v>
      </c>
    </row>
    <row r="92" spans="1:18" x14ac:dyDescent="0.25">
      <c r="A92">
        <f>'CAR PROMAX FILIAL CRUZ'!O86</f>
        <v>3</v>
      </c>
      <c r="B92" s="33" t="str">
        <f t="shared" si="5"/>
        <v xml:space="preserve"> </v>
      </c>
      <c r="C92" s="33" t="str">
        <f t="shared" si="4"/>
        <v xml:space="preserve"> </v>
      </c>
      <c r="D92" s="34" t="str">
        <f>IF(A92&lt;0,'CAR PROMAX FILIAL CRUZ'!B86," ")</f>
        <v xml:space="preserve"> </v>
      </c>
      <c r="E92" s="35" t="str">
        <f>IF(A92&lt;0,'CAR PROMAX FILIAL CRUZ'!C86," ")</f>
        <v xml:space="preserve"> </v>
      </c>
      <c r="F92" s="34" t="str">
        <f>IF(A92&lt;0,'CAR PROMAX FILIAL CRUZ'!D86," ")</f>
        <v xml:space="preserve"> </v>
      </c>
      <c r="G92" s="34" t="str">
        <f>IF(A92&lt;0,'CAR PROMAX FILIAL CRUZ'!E86," ")</f>
        <v xml:space="preserve"> </v>
      </c>
      <c r="H92" s="34" t="str">
        <f>IF(A92&lt;0,'CAR PROMAX FILIAL CRUZ'!J86," ")</f>
        <v xml:space="preserve"> </v>
      </c>
      <c r="I92" s="34"/>
      <c r="J92" s="34"/>
      <c r="K92" s="34" t="str">
        <f>IF(A92&lt;0,'CAR PROMAX FILIAL CRUZ'!O86," ")</f>
        <v xml:space="preserve"> </v>
      </c>
      <c r="L92" s="36" t="str">
        <f>IF(A92&lt;0,'CAR PROMAX FILIAL CRUZ'!P86," ")</f>
        <v xml:space="preserve"> </v>
      </c>
      <c r="M92" s="36" t="str">
        <f>IF(A92&lt;0,'CAR PROMAX FILIAL CRUZ'!Q86," ")</f>
        <v xml:space="preserve"> </v>
      </c>
      <c r="N92" s="36" t="str">
        <f>IF(A92&lt;0,'CAR PROMAX FILIAL CRUZ'!R86," ")</f>
        <v xml:space="preserve"> </v>
      </c>
      <c r="O92" s="37" t="str">
        <f>IF(A92&lt;0,'CAR PROMAX FILIAL CRUZ'!S86," ")</f>
        <v xml:space="preserve"> </v>
      </c>
      <c r="P92" s="37" t="str">
        <f>IF(A92&lt;0,'CAR PROMAX FILIAL CRUZ'!T86," ")</f>
        <v xml:space="preserve"> </v>
      </c>
      <c r="Q92" s="37" t="str">
        <f>IF(A92&lt;0,'CAR PROMAX FILIAL CRUZ'!U86," ")</f>
        <v xml:space="preserve"> </v>
      </c>
      <c r="R92" s="34" t="str">
        <f>IF(A92&lt;0,'CAR PROMAX FILIAL CRUZ'!V86," ")</f>
        <v xml:space="preserve"> </v>
      </c>
    </row>
    <row r="93" spans="1:18" x14ac:dyDescent="0.25">
      <c r="A93">
        <f>'CAR PROMAX FILIAL CRUZ'!O87</f>
        <v>3</v>
      </c>
      <c r="B93" s="33" t="str">
        <f t="shared" si="5"/>
        <v xml:space="preserve"> </v>
      </c>
      <c r="C93" s="33" t="str">
        <f t="shared" si="4"/>
        <v xml:space="preserve"> </v>
      </c>
      <c r="D93" s="34" t="str">
        <f>IF(A93&lt;0,'CAR PROMAX FILIAL CRUZ'!B87," ")</f>
        <v xml:space="preserve"> </v>
      </c>
      <c r="E93" s="35" t="str">
        <f>IF(A93&lt;0,'CAR PROMAX FILIAL CRUZ'!C87," ")</f>
        <v xml:space="preserve"> </v>
      </c>
      <c r="F93" s="34" t="str">
        <f>IF(A93&lt;0,'CAR PROMAX FILIAL CRUZ'!D87," ")</f>
        <v xml:space="preserve"> </v>
      </c>
      <c r="G93" s="34" t="str">
        <f>IF(A93&lt;0,'CAR PROMAX FILIAL CRUZ'!E87," ")</f>
        <v xml:space="preserve"> </v>
      </c>
      <c r="H93" s="34" t="str">
        <f>IF(A93&lt;0,'CAR PROMAX FILIAL CRUZ'!J87," ")</f>
        <v xml:space="preserve"> </v>
      </c>
      <c r="I93" s="34"/>
      <c r="J93" s="34"/>
      <c r="K93" s="34" t="str">
        <f>IF(A93&lt;0,'CAR PROMAX FILIAL CRUZ'!O87," ")</f>
        <v xml:space="preserve"> </v>
      </c>
      <c r="L93" s="36" t="str">
        <f>IF(A93&lt;0,'CAR PROMAX FILIAL CRUZ'!P87," ")</f>
        <v xml:space="preserve"> </v>
      </c>
      <c r="M93" s="36" t="str">
        <f>IF(A93&lt;0,'CAR PROMAX FILIAL CRUZ'!Q87," ")</f>
        <v xml:space="preserve"> </v>
      </c>
      <c r="N93" s="36" t="str">
        <f>IF(A93&lt;0,'CAR PROMAX FILIAL CRUZ'!R87," ")</f>
        <v xml:space="preserve"> </v>
      </c>
      <c r="O93" s="37" t="str">
        <f>IF(A93&lt;0,'CAR PROMAX FILIAL CRUZ'!S87," ")</f>
        <v xml:space="preserve"> </v>
      </c>
      <c r="P93" s="37" t="str">
        <f>IF(A93&lt;0,'CAR PROMAX FILIAL CRUZ'!T87," ")</f>
        <v xml:space="preserve"> </v>
      </c>
      <c r="Q93" s="37" t="str">
        <f>IF(A93&lt;0,'CAR PROMAX FILIAL CRUZ'!U87," ")</f>
        <v xml:space="preserve"> </v>
      </c>
      <c r="R93" s="34" t="str">
        <f>IF(A93&lt;0,'CAR PROMAX FILIAL CRUZ'!V87," ")</f>
        <v xml:space="preserve"> </v>
      </c>
    </row>
    <row r="94" spans="1:18" x14ac:dyDescent="0.25">
      <c r="A94">
        <f>'CAR PROMAX FILIAL CRUZ'!O88</f>
        <v>3</v>
      </c>
      <c r="B94" s="33" t="str">
        <f t="shared" si="5"/>
        <v xml:space="preserve"> </v>
      </c>
      <c r="C94" s="33" t="str">
        <f t="shared" si="4"/>
        <v xml:space="preserve"> </v>
      </c>
      <c r="D94" s="34" t="str">
        <f>IF(A94&lt;0,'CAR PROMAX FILIAL CRUZ'!B88," ")</f>
        <v xml:space="preserve"> </v>
      </c>
      <c r="E94" s="35" t="str">
        <f>IF(A94&lt;0,'CAR PROMAX FILIAL CRUZ'!C88," ")</f>
        <v xml:space="preserve"> </v>
      </c>
      <c r="F94" s="34" t="str">
        <f>IF(A94&lt;0,'CAR PROMAX FILIAL CRUZ'!D88," ")</f>
        <v xml:space="preserve"> </v>
      </c>
      <c r="G94" s="34" t="str">
        <f>IF(A94&lt;0,'CAR PROMAX FILIAL CRUZ'!E88," ")</f>
        <v xml:space="preserve"> </v>
      </c>
      <c r="H94" s="34" t="str">
        <f>IF(A94&lt;0,'CAR PROMAX FILIAL CRUZ'!J88," ")</f>
        <v xml:space="preserve"> </v>
      </c>
      <c r="I94" s="34"/>
      <c r="J94" s="34"/>
      <c r="K94" s="34" t="str">
        <f>IF(A94&lt;0,'CAR PROMAX FILIAL CRUZ'!O88," ")</f>
        <v xml:space="preserve"> </v>
      </c>
      <c r="L94" s="36" t="str">
        <f>IF(A94&lt;0,'CAR PROMAX FILIAL CRUZ'!P88," ")</f>
        <v xml:space="preserve"> </v>
      </c>
      <c r="M94" s="36" t="str">
        <f>IF(A94&lt;0,'CAR PROMAX FILIAL CRUZ'!Q88," ")</f>
        <v xml:space="preserve"> </v>
      </c>
      <c r="N94" s="36" t="str">
        <f>IF(A94&lt;0,'CAR PROMAX FILIAL CRUZ'!R88," ")</f>
        <v xml:space="preserve"> </v>
      </c>
      <c r="O94" s="37" t="str">
        <f>IF(A94&lt;0,'CAR PROMAX FILIAL CRUZ'!S88," ")</f>
        <v xml:space="preserve"> </v>
      </c>
      <c r="P94" s="37" t="str">
        <f>IF(A94&lt;0,'CAR PROMAX FILIAL CRUZ'!T88," ")</f>
        <v xml:space="preserve"> </v>
      </c>
      <c r="Q94" s="37" t="str">
        <f>IF(A94&lt;0,'CAR PROMAX FILIAL CRUZ'!U88," ")</f>
        <v xml:space="preserve"> </v>
      </c>
      <c r="R94" s="34" t="str">
        <f>IF(A94&lt;0,'CAR PROMAX FILIAL CRUZ'!V88," ")</f>
        <v xml:space="preserve"> </v>
      </c>
    </row>
    <row r="95" spans="1:18" x14ac:dyDescent="0.25">
      <c r="A95">
        <f>'CAR PROMAX FILIAL CRUZ'!O89</f>
        <v>3</v>
      </c>
      <c r="B95" s="33" t="str">
        <f t="shared" si="5"/>
        <v xml:space="preserve"> </v>
      </c>
      <c r="C95" s="33" t="str">
        <f t="shared" si="4"/>
        <v xml:space="preserve"> </v>
      </c>
      <c r="D95" s="34" t="str">
        <f>IF(A95&lt;0,'CAR PROMAX FILIAL CRUZ'!B89," ")</f>
        <v xml:space="preserve"> </v>
      </c>
      <c r="E95" s="35" t="str">
        <f>IF(A95&lt;0,'CAR PROMAX FILIAL CRUZ'!C89," ")</f>
        <v xml:space="preserve"> </v>
      </c>
      <c r="F95" s="34" t="str">
        <f>IF(A95&lt;0,'CAR PROMAX FILIAL CRUZ'!D89," ")</f>
        <v xml:space="preserve"> </v>
      </c>
      <c r="G95" s="34" t="str">
        <f>IF(A95&lt;0,'CAR PROMAX FILIAL CRUZ'!E89," ")</f>
        <v xml:space="preserve"> </v>
      </c>
      <c r="H95" s="34" t="str">
        <f>IF(A95&lt;0,'CAR PROMAX FILIAL CRUZ'!J89," ")</f>
        <v xml:space="preserve"> </v>
      </c>
      <c r="I95" s="34"/>
      <c r="J95" s="34"/>
      <c r="K95" s="34" t="str">
        <f>IF(A95&lt;0,'CAR PROMAX FILIAL CRUZ'!O89," ")</f>
        <v xml:space="preserve"> </v>
      </c>
      <c r="L95" s="36" t="str">
        <f>IF(A95&lt;0,'CAR PROMAX FILIAL CRUZ'!P89," ")</f>
        <v xml:space="preserve"> </v>
      </c>
      <c r="M95" s="36" t="str">
        <f>IF(A95&lt;0,'CAR PROMAX FILIAL CRUZ'!Q89," ")</f>
        <v xml:space="preserve"> </v>
      </c>
      <c r="N95" s="36" t="str">
        <f>IF(A95&lt;0,'CAR PROMAX FILIAL CRUZ'!R89," ")</f>
        <v xml:space="preserve"> </v>
      </c>
      <c r="O95" s="37" t="str">
        <f>IF(A95&lt;0,'CAR PROMAX FILIAL CRUZ'!S89," ")</f>
        <v xml:space="preserve"> </v>
      </c>
      <c r="P95" s="37" t="str">
        <f>IF(A95&lt;0,'CAR PROMAX FILIAL CRUZ'!T89," ")</f>
        <v xml:space="preserve"> </v>
      </c>
      <c r="Q95" s="37" t="str">
        <f>IF(A95&lt;0,'CAR PROMAX FILIAL CRUZ'!U89," ")</f>
        <v xml:space="preserve"> </v>
      </c>
      <c r="R95" s="34" t="str">
        <f>IF(A95&lt;0,'CAR PROMAX FILIAL CRUZ'!V89," ")</f>
        <v xml:space="preserve"> </v>
      </c>
    </row>
    <row r="96" spans="1:18" x14ac:dyDescent="0.25">
      <c r="A96">
        <f>'CAR PROMAX FILIAL CRUZ'!O90</f>
        <v>3</v>
      </c>
      <c r="B96" s="33" t="str">
        <f t="shared" si="5"/>
        <v xml:space="preserve"> </v>
      </c>
      <c r="C96" s="33" t="str">
        <f t="shared" si="4"/>
        <v xml:space="preserve"> </v>
      </c>
      <c r="D96" s="34" t="str">
        <f>IF(A96&lt;0,'CAR PROMAX FILIAL CRUZ'!B90," ")</f>
        <v xml:space="preserve"> </v>
      </c>
      <c r="E96" s="35" t="str">
        <f>IF(A96&lt;0,'CAR PROMAX FILIAL CRUZ'!C90," ")</f>
        <v xml:space="preserve"> </v>
      </c>
      <c r="F96" s="34" t="str">
        <f>IF(A96&lt;0,'CAR PROMAX FILIAL CRUZ'!D90," ")</f>
        <v xml:space="preserve"> </v>
      </c>
      <c r="G96" s="34" t="str">
        <f>IF(A96&lt;0,'CAR PROMAX FILIAL CRUZ'!E90," ")</f>
        <v xml:space="preserve"> </v>
      </c>
      <c r="H96" s="34" t="str">
        <f>IF(A96&lt;0,'CAR PROMAX FILIAL CRUZ'!J90," ")</f>
        <v xml:space="preserve"> </v>
      </c>
      <c r="I96" s="34"/>
      <c r="J96" s="34"/>
      <c r="K96" s="34" t="str">
        <f>IF(A96&lt;0,'CAR PROMAX FILIAL CRUZ'!O90," ")</f>
        <v xml:space="preserve"> </v>
      </c>
      <c r="L96" s="36" t="str">
        <f>IF(A96&lt;0,'CAR PROMAX FILIAL CRUZ'!P90," ")</f>
        <v xml:space="preserve"> </v>
      </c>
      <c r="M96" s="36" t="str">
        <f>IF(A96&lt;0,'CAR PROMAX FILIAL CRUZ'!Q90," ")</f>
        <v xml:space="preserve"> </v>
      </c>
      <c r="N96" s="36" t="str">
        <f>IF(A96&lt;0,'CAR PROMAX FILIAL CRUZ'!R90," ")</f>
        <v xml:space="preserve"> </v>
      </c>
      <c r="O96" s="37" t="str">
        <f>IF(A96&lt;0,'CAR PROMAX FILIAL CRUZ'!S90," ")</f>
        <v xml:space="preserve"> </v>
      </c>
      <c r="P96" s="37" t="str">
        <f>IF(A96&lt;0,'CAR PROMAX FILIAL CRUZ'!T90," ")</f>
        <v xml:space="preserve"> </v>
      </c>
      <c r="Q96" s="37" t="str">
        <f>IF(A96&lt;0,'CAR PROMAX FILIAL CRUZ'!U90," ")</f>
        <v xml:space="preserve"> </v>
      </c>
      <c r="R96" s="34" t="str">
        <f>IF(A96&lt;0,'CAR PROMAX FILIAL CRUZ'!V90," ")</f>
        <v xml:space="preserve"> </v>
      </c>
    </row>
    <row r="97" spans="1:18" x14ac:dyDescent="0.25">
      <c r="A97">
        <f>'CAR PROMAX FILIAL CRUZ'!O91</f>
        <v>3</v>
      </c>
      <c r="B97" s="33" t="str">
        <f t="shared" si="5"/>
        <v xml:space="preserve"> </v>
      </c>
      <c r="C97" s="33" t="str">
        <f t="shared" si="4"/>
        <v xml:space="preserve"> </v>
      </c>
      <c r="D97" s="34" t="str">
        <f>IF(A97&lt;0,'CAR PROMAX FILIAL CRUZ'!B91," ")</f>
        <v xml:space="preserve"> </v>
      </c>
      <c r="E97" s="35" t="str">
        <f>IF(A97&lt;0,'CAR PROMAX FILIAL CRUZ'!C91," ")</f>
        <v xml:space="preserve"> </v>
      </c>
      <c r="F97" s="34" t="str">
        <f>IF(A97&lt;0,'CAR PROMAX FILIAL CRUZ'!D91," ")</f>
        <v xml:space="preserve"> </v>
      </c>
      <c r="G97" s="34" t="str">
        <f>IF(A97&lt;0,'CAR PROMAX FILIAL CRUZ'!E91," ")</f>
        <v xml:space="preserve"> </v>
      </c>
      <c r="H97" s="34" t="str">
        <f>IF(A97&lt;0,'CAR PROMAX FILIAL CRUZ'!J91," ")</f>
        <v xml:space="preserve"> </v>
      </c>
      <c r="I97" s="34"/>
      <c r="J97" s="34"/>
      <c r="K97" s="34" t="str">
        <f>IF(A97&lt;0,'CAR PROMAX FILIAL CRUZ'!O91," ")</f>
        <v xml:space="preserve"> </v>
      </c>
      <c r="L97" s="36" t="str">
        <f>IF(A97&lt;0,'CAR PROMAX FILIAL CRUZ'!P91," ")</f>
        <v xml:space="preserve"> </v>
      </c>
      <c r="M97" s="36" t="str">
        <f>IF(A97&lt;0,'CAR PROMAX FILIAL CRUZ'!Q91," ")</f>
        <v xml:space="preserve"> </v>
      </c>
      <c r="N97" s="36" t="str">
        <f>IF(A97&lt;0,'CAR PROMAX FILIAL CRUZ'!R91," ")</f>
        <v xml:space="preserve"> </v>
      </c>
      <c r="O97" s="37" t="str">
        <f>IF(A97&lt;0,'CAR PROMAX FILIAL CRUZ'!S91," ")</f>
        <v xml:space="preserve"> </v>
      </c>
      <c r="P97" s="37" t="str">
        <f>IF(A97&lt;0,'CAR PROMAX FILIAL CRUZ'!T91," ")</f>
        <v xml:space="preserve"> </v>
      </c>
      <c r="Q97" s="37" t="str">
        <f>IF(A97&lt;0,'CAR PROMAX FILIAL CRUZ'!U91," ")</f>
        <v xml:space="preserve"> </v>
      </c>
      <c r="R97" s="34" t="str">
        <f>IF(A97&lt;0,'CAR PROMAX FILIAL CRUZ'!V91," ")</f>
        <v xml:space="preserve"> </v>
      </c>
    </row>
    <row r="98" spans="1:18" x14ac:dyDescent="0.25">
      <c r="A98">
        <f>'CAR PROMAX FILIAL CRUZ'!O92</f>
        <v>3</v>
      </c>
      <c r="B98" s="33" t="str">
        <f t="shared" si="5"/>
        <v xml:space="preserve"> </v>
      </c>
      <c r="C98" s="33" t="str">
        <f t="shared" si="4"/>
        <v xml:space="preserve"> </v>
      </c>
      <c r="D98" s="34" t="str">
        <f>IF(A98&lt;0,'CAR PROMAX FILIAL CRUZ'!B92," ")</f>
        <v xml:space="preserve"> </v>
      </c>
      <c r="E98" s="35" t="str">
        <f>IF(A98&lt;0,'CAR PROMAX FILIAL CRUZ'!C92," ")</f>
        <v xml:space="preserve"> </v>
      </c>
      <c r="F98" s="34" t="str">
        <f>IF(A98&lt;0,'CAR PROMAX FILIAL CRUZ'!D92," ")</f>
        <v xml:space="preserve"> </v>
      </c>
      <c r="G98" s="34" t="str">
        <f>IF(A98&lt;0,'CAR PROMAX FILIAL CRUZ'!E92," ")</f>
        <v xml:space="preserve"> </v>
      </c>
      <c r="H98" s="34" t="str">
        <f>IF(A98&lt;0,'CAR PROMAX FILIAL CRUZ'!J92," ")</f>
        <v xml:space="preserve"> </v>
      </c>
      <c r="I98" s="34"/>
      <c r="J98" s="34"/>
      <c r="K98" s="34" t="str">
        <f>IF(A98&lt;0,'CAR PROMAX FILIAL CRUZ'!O92," ")</f>
        <v xml:space="preserve"> </v>
      </c>
      <c r="L98" s="36" t="str">
        <f>IF(A98&lt;0,'CAR PROMAX FILIAL CRUZ'!P92," ")</f>
        <v xml:space="preserve"> </v>
      </c>
      <c r="M98" s="36" t="str">
        <f>IF(A98&lt;0,'CAR PROMAX FILIAL CRUZ'!Q92," ")</f>
        <v xml:space="preserve"> </v>
      </c>
      <c r="N98" s="36" t="str">
        <f>IF(A98&lt;0,'CAR PROMAX FILIAL CRUZ'!R92," ")</f>
        <v xml:space="preserve"> </v>
      </c>
      <c r="O98" s="37" t="str">
        <f>IF(A98&lt;0,'CAR PROMAX FILIAL CRUZ'!S92," ")</f>
        <v xml:space="preserve"> </v>
      </c>
      <c r="P98" s="37" t="str">
        <f>IF(A98&lt;0,'CAR PROMAX FILIAL CRUZ'!T92," ")</f>
        <v xml:space="preserve"> </v>
      </c>
      <c r="Q98" s="37" t="str">
        <f>IF(A98&lt;0,'CAR PROMAX FILIAL CRUZ'!U92," ")</f>
        <v xml:space="preserve"> </v>
      </c>
      <c r="R98" s="34" t="str">
        <f>IF(A98&lt;0,'CAR PROMAX FILIAL CRUZ'!V92," ")</f>
        <v xml:space="preserve"> </v>
      </c>
    </row>
    <row r="99" spans="1:18" x14ac:dyDescent="0.25">
      <c r="A99">
        <f>'CAR PROMAX FILIAL CRUZ'!O93</f>
        <v>3</v>
      </c>
      <c r="B99" s="33" t="str">
        <f t="shared" si="5"/>
        <v xml:space="preserve"> </v>
      </c>
      <c r="C99" s="33" t="str">
        <f t="shared" si="4"/>
        <v xml:space="preserve"> </v>
      </c>
      <c r="D99" s="34" t="str">
        <f>IF(A99&lt;0,'CAR PROMAX FILIAL CRUZ'!B93," ")</f>
        <v xml:space="preserve"> </v>
      </c>
      <c r="E99" s="35" t="str">
        <f>IF(A99&lt;0,'CAR PROMAX FILIAL CRUZ'!C93," ")</f>
        <v xml:space="preserve"> </v>
      </c>
      <c r="F99" s="34" t="str">
        <f>IF(A99&lt;0,'CAR PROMAX FILIAL CRUZ'!D93," ")</f>
        <v xml:space="preserve"> </v>
      </c>
      <c r="G99" s="34" t="str">
        <f>IF(A99&lt;0,'CAR PROMAX FILIAL CRUZ'!E93," ")</f>
        <v xml:space="preserve"> </v>
      </c>
      <c r="H99" s="34" t="str">
        <f>IF(A99&lt;0,'CAR PROMAX FILIAL CRUZ'!J93," ")</f>
        <v xml:space="preserve"> </v>
      </c>
      <c r="I99" s="34"/>
      <c r="J99" s="34"/>
      <c r="K99" s="34" t="str">
        <f>IF(A99&lt;0,'CAR PROMAX FILIAL CRUZ'!O93," ")</f>
        <v xml:space="preserve"> </v>
      </c>
      <c r="L99" s="36" t="str">
        <f>IF(A99&lt;0,'CAR PROMAX FILIAL CRUZ'!P93," ")</f>
        <v xml:space="preserve"> </v>
      </c>
      <c r="M99" s="36" t="str">
        <f>IF(A99&lt;0,'CAR PROMAX FILIAL CRUZ'!Q93," ")</f>
        <v xml:space="preserve"> </v>
      </c>
      <c r="N99" s="36" t="str">
        <f>IF(A99&lt;0,'CAR PROMAX FILIAL CRUZ'!R93," ")</f>
        <v xml:space="preserve"> </v>
      </c>
      <c r="O99" s="37" t="str">
        <f>IF(A99&lt;0,'CAR PROMAX FILIAL CRUZ'!S93," ")</f>
        <v xml:space="preserve"> </v>
      </c>
      <c r="P99" s="37" t="str">
        <f>IF(A99&lt;0,'CAR PROMAX FILIAL CRUZ'!T93," ")</f>
        <v xml:space="preserve"> </v>
      </c>
      <c r="Q99" s="37" t="str">
        <f>IF(A99&lt;0,'CAR PROMAX FILIAL CRUZ'!U93," ")</f>
        <v xml:space="preserve"> </v>
      </c>
      <c r="R99" s="34" t="str">
        <f>IF(A99&lt;0,'CAR PROMAX FILIAL CRUZ'!V93," ")</f>
        <v xml:space="preserve"> </v>
      </c>
    </row>
    <row r="100" spans="1:18" x14ac:dyDescent="0.25">
      <c r="A100">
        <f>'CAR PROMAX FILIAL CRUZ'!O94</f>
        <v>3</v>
      </c>
      <c r="B100" s="33" t="str">
        <f t="shared" si="5"/>
        <v xml:space="preserve"> </v>
      </c>
      <c r="C100" s="33" t="str">
        <f t="shared" si="4"/>
        <v xml:space="preserve"> </v>
      </c>
      <c r="D100" s="34" t="str">
        <f>IF(A100&lt;0,'CAR PROMAX FILIAL CRUZ'!B94," ")</f>
        <v xml:space="preserve"> </v>
      </c>
      <c r="E100" s="35" t="str">
        <f>IF(A100&lt;0,'CAR PROMAX FILIAL CRUZ'!C94," ")</f>
        <v xml:space="preserve"> </v>
      </c>
      <c r="F100" s="34" t="str">
        <f>IF(A100&lt;0,'CAR PROMAX FILIAL CRUZ'!D94," ")</f>
        <v xml:space="preserve"> </v>
      </c>
      <c r="G100" s="34" t="str">
        <f>IF(A100&lt;0,'CAR PROMAX FILIAL CRUZ'!E94," ")</f>
        <v xml:space="preserve"> </v>
      </c>
      <c r="H100" s="34" t="str">
        <f>IF(A100&lt;0,'CAR PROMAX FILIAL CRUZ'!J94," ")</f>
        <v xml:space="preserve"> </v>
      </c>
      <c r="I100" s="34"/>
      <c r="J100" s="34"/>
      <c r="K100" s="34" t="str">
        <f>IF(A100&lt;0,'CAR PROMAX FILIAL CRUZ'!O94," ")</f>
        <v xml:space="preserve"> </v>
      </c>
      <c r="L100" s="36" t="str">
        <f>IF(A100&lt;0,'CAR PROMAX FILIAL CRUZ'!P94," ")</f>
        <v xml:space="preserve"> </v>
      </c>
      <c r="M100" s="36" t="str">
        <f>IF(A100&lt;0,'CAR PROMAX FILIAL CRUZ'!Q94," ")</f>
        <v xml:space="preserve"> </v>
      </c>
      <c r="N100" s="36" t="str">
        <f>IF(A100&lt;0,'CAR PROMAX FILIAL CRUZ'!R94," ")</f>
        <v xml:space="preserve"> </v>
      </c>
      <c r="O100" s="37" t="str">
        <f>IF(A100&lt;0,'CAR PROMAX FILIAL CRUZ'!S94," ")</f>
        <v xml:space="preserve"> </v>
      </c>
      <c r="P100" s="37" t="str">
        <f>IF(A100&lt;0,'CAR PROMAX FILIAL CRUZ'!T94," ")</f>
        <v xml:space="preserve"> </v>
      </c>
      <c r="Q100" s="37" t="str">
        <f>IF(A100&lt;0,'CAR PROMAX FILIAL CRUZ'!U94," ")</f>
        <v xml:space="preserve"> </v>
      </c>
      <c r="R100" s="34" t="str">
        <f>IF(A100&lt;0,'CAR PROMAX FILIAL CRUZ'!V94," ")</f>
        <v xml:space="preserve"> </v>
      </c>
    </row>
    <row r="101" spans="1:18" x14ac:dyDescent="0.25">
      <c r="A101">
        <f>'CAR PROMAX FILIAL CRUZ'!O95</f>
        <v>3</v>
      </c>
      <c r="B101" s="33" t="str">
        <f t="shared" si="5"/>
        <v xml:space="preserve"> </v>
      </c>
      <c r="C101" s="33" t="str">
        <f t="shared" si="4"/>
        <v xml:space="preserve"> </v>
      </c>
      <c r="D101" s="34" t="str">
        <f>IF(A101&lt;0,'CAR PROMAX FILIAL CRUZ'!B95," ")</f>
        <v xml:space="preserve"> </v>
      </c>
      <c r="E101" s="35" t="str">
        <f>IF(A101&lt;0,'CAR PROMAX FILIAL CRUZ'!C95," ")</f>
        <v xml:space="preserve"> </v>
      </c>
      <c r="F101" s="34" t="str">
        <f>IF(A101&lt;0,'CAR PROMAX FILIAL CRUZ'!D95," ")</f>
        <v xml:space="preserve"> </v>
      </c>
      <c r="G101" s="34" t="str">
        <f>IF(A101&lt;0,'CAR PROMAX FILIAL CRUZ'!E95," ")</f>
        <v xml:space="preserve"> </v>
      </c>
      <c r="H101" s="34" t="str">
        <f>IF(A101&lt;0,'CAR PROMAX FILIAL CRUZ'!J95," ")</f>
        <v xml:space="preserve"> </v>
      </c>
      <c r="I101" s="34"/>
      <c r="J101" s="34"/>
      <c r="K101" s="34" t="str">
        <f>IF(A101&lt;0,'CAR PROMAX FILIAL CRUZ'!O95," ")</f>
        <v xml:space="preserve"> </v>
      </c>
      <c r="L101" s="36" t="str">
        <f>IF(A101&lt;0,'CAR PROMAX FILIAL CRUZ'!P95," ")</f>
        <v xml:space="preserve"> </v>
      </c>
      <c r="M101" s="36" t="str">
        <f>IF(A101&lt;0,'CAR PROMAX FILIAL CRUZ'!Q95," ")</f>
        <v xml:space="preserve"> </v>
      </c>
      <c r="N101" s="36" t="str">
        <f>IF(A101&lt;0,'CAR PROMAX FILIAL CRUZ'!R95," ")</f>
        <v xml:space="preserve"> </v>
      </c>
      <c r="O101" s="37" t="str">
        <f>IF(A101&lt;0,'CAR PROMAX FILIAL CRUZ'!S95," ")</f>
        <v xml:space="preserve"> </v>
      </c>
      <c r="P101" s="37" t="str">
        <f>IF(A101&lt;0,'CAR PROMAX FILIAL CRUZ'!T95," ")</f>
        <v xml:space="preserve"> </v>
      </c>
      <c r="Q101" s="37" t="str">
        <f>IF(A101&lt;0,'CAR PROMAX FILIAL CRUZ'!U95," ")</f>
        <v xml:space="preserve"> </v>
      </c>
      <c r="R101" s="34" t="str">
        <f>IF(A101&lt;0,'CAR PROMAX FILIAL CRUZ'!V95," ")</f>
        <v xml:space="preserve"> </v>
      </c>
    </row>
    <row r="102" spans="1:18" x14ac:dyDescent="0.25">
      <c r="A102">
        <f>'CAR PROMAX FILIAL CRUZ'!O96</f>
        <v>3</v>
      </c>
      <c r="B102" s="33" t="str">
        <f t="shared" si="5"/>
        <v xml:space="preserve"> </v>
      </c>
      <c r="C102" s="33" t="str">
        <f t="shared" si="4"/>
        <v xml:space="preserve"> </v>
      </c>
      <c r="D102" s="34" t="str">
        <f>IF(A102&lt;0,'CAR PROMAX FILIAL CRUZ'!B96," ")</f>
        <v xml:space="preserve"> </v>
      </c>
      <c r="E102" s="35" t="str">
        <f>IF(A102&lt;0,'CAR PROMAX FILIAL CRUZ'!C96," ")</f>
        <v xml:space="preserve"> </v>
      </c>
      <c r="F102" s="34" t="str">
        <f>IF(A102&lt;0,'CAR PROMAX FILIAL CRUZ'!D96," ")</f>
        <v xml:space="preserve"> </v>
      </c>
      <c r="G102" s="34" t="str">
        <f>IF(A102&lt;0,'CAR PROMAX FILIAL CRUZ'!E96," ")</f>
        <v xml:space="preserve"> </v>
      </c>
      <c r="H102" s="34" t="str">
        <f>IF(A102&lt;0,'CAR PROMAX FILIAL CRUZ'!J96," ")</f>
        <v xml:space="preserve"> </v>
      </c>
      <c r="I102" s="34"/>
      <c r="J102" s="34"/>
      <c r="K102" s="34" t="str">
        <f>IF(A102&lt;0,'CAR PROMAX FILIAL CRUZ'!O96," ")</f>
        <v xml:space="preserve"> </v>
      </c>
      <c r="L102" s="36" t="str">
        <f>IF(A102&lt;0,'CAR PROMAX FILIAL CRUZ'!P96," ")</f>
        <v xml:space="preserve"> </v>
      </c>
      <c r="M102" s="36" t="str">
        <f>IF(A102&lt;0,'CAR PROMAX FILIAL CRUZ'!Q96," ")</f>
        <v xml:space="preserve"> </v>
      </c>
      <c r="N102" s="36" t="str">
        <f>IF(A102&lt;0,'CAR PROMAX FILIAL CRUZ'!R96," ")</f>
        <v xml:space="preserve"> </v>
      </c>
      <c r="O102" s="37" t="str">
        <f>IF(A102&lt;0,'CAR PROMAX FILIAL CRUZ'!S96," ")</f>
        <v xml:space="preserve"> </v>
      </c>
      <c r="P102" s="37" t="str">
        <f>IF(A102&lt;0,'CAR PROMAX FILIAL CRUZ'!T96," ")</f>
        <v xml:space="preserve"> </v>
      </c>
      <c r="Q102" s="37" t="str">
        <f>IF(A102&lt;0,'CAR PROMAX FILIAL CRUZ'!U96," ")</f>
        <v xml:space="preserve"> </v>
      </c>
      <c r="R102" s="34" t="str">
        <f>IF(A102&lt;0,'CAR PROMAX FILIAL CRUZ'!V96," ")</f>
        <v xml:space="preserve"> </v>
      </c>
    </row>
    <row r="103" spans="1:18" x14ac:dyDescent="0.25">
      <c r="A103">
        <f>'CAR PROMAX FILIAL CRUZ'!O97</f>
        <v>3</v>
      </c>
      <c r="B103" s="33" t="str">
        <f t="shared" si="5"/>
        <v xml:space="preserve"> </v>
      </c>
      <c r="C103" s="33" t="str">
        <f t="shared" si="4"/>
        <v xml:space="preserve"> </v>
      </c>
      <c r="D103" s="34" t="str">
        <f>IF(A103&lt;0,'CAR PROMAX FILIAL CRUZ'!B97," ")</f>
        <v xml:space="preserve"> </v>
      </c>
      <c r="E103" s="35" t="str">
        <f>IF(A103&lt;0,'CAR PROMAX FILIAL CRUZ'!C97," ")</f>
        <v xml:space="preserve"> </v>
      </c>
      <c r="F103" s="34" t="str">
        <f>IF(A103&lt;0,'CAR PROMAX FILIAL CRUZ'!D97," ")</f>
        <v xml:space="preserve"> </v>
      </c>
      <c r="G103" s="34" t="str">
        <f>IF(A103&lt;0,'CAR PROMAX FILIAL CRUZ'!E97," ")</f>
        <v xml:space="preserve"> </v>
      </c>
      <c r="H103" s="34" t="str">
        <f>IF(A103&lt;0,'CAR PROMAX FILIAL CRUZ'!J97," ")</f>
        <v xml:space="preserve"> </v>
      </c>
      <c r="I103" s="34"/>
      <c r="J103" s="34"/>
      <c r="K103" s="34" t="str">
        <f>IF(A103&lt;0,'CAR PROMAX FILIAL CRUZ'!O97," ")</f>
        <v xml:space="preserve"> </v>
      </c>
      <c r="L103" s="36" t="str">
        <f>IF(A103&lt;0,'CAR PROMAX FILIAL CRUZ'!P97," ")</f>
        <v xml:space="preserve"> </v>
      </c>
      <c r="M103" s="36" t="str">
        <f>IF(A103&lt;0,'CAR PROMAX FILIAL CRUZ'!Q97," ")</f>
        <v xml:space="preserve"> </v>
      </c>
      <c r="N103" s="36" t="str">
        <f>IF(A103&lt;0,'CAR PROMAX FILIAL CRUZ'!R97," ")</f>
        <v xml:space="preserve"> </v>
      </c>
      <c r="O103" s="37" t="str">
        <f>IF(A103&lt;0,'CAR PROMAX FILIAL CRUZ'!S97," ")</f>
        <v xml:space="preserve"> </v>
      </c>
      <c r="P103" s="37" t="str">
        <f>IF(A103&lt;0,'CAR PROMAX FILIAL CRUZ'!T97," ")</f>
        <v xml:space="preserve"> </v>
      </c>
      <c r="Q103" s="37" t="str">
        <f>IF(A103&lt;0,'CAR PROMAX FILIAL CRUZ'!U97," ")</f>
        <v xml:space="preserve"> </v>
      </c>
      <c r="R103" s="34" t="str">
        <f>IF(A103&lt;0,'CAR PROMAX FILIAL CRUZ'!V97," ")</f>
        <v xml:space="preserve"> </v>
      </c>
    </row>
    <row r="104" spans="1:18" x14ac:dyDescent="0.25">
      <c r="A104">
        <f>'CAR PROMAX FILIAL CRUZ'!O98</f>
        <v>4</v>
      </c>
      <c r="B104" s="33" t="str">
        <f t="shared" si="5"/>
        <v xml:space="preserve"> </v>
      </c>
      <c r="C104" s="33" t="str">
        <f t="shared" si="4"/>
        <v xml:space="preserve"> </v>
      </c>
      <c r="D104" s="34" t="str">
        <f>IF(A104&lt;0,'CAR PROMAX FILIAL CRUZ'!B98," ")</f>
        <v xml:space="preserve"> </v>
      </c>
      <c r="E104" s="35" t="str">
        <f>IF(A104&lt;0,'CAR PROMAX FILIAL CRUZ'!C98," ")</f>
        <v xml:space="preserve"> </v>
      </c>
      <c r="F104" s="34" t="str">
        <f>IF(A104&lt;0,'CAR PROMAX FILIAL CRUZ'!D98," ")</f>
        <v xml:space="preserve"> </v>
      </c>
      <c r="G104" s="34" t="str">
        <f>IF(A104&lt;0,'CAR PROMAX FILIAL CRUZ'!E98," ")</f>
        <v xml:space="preserve"> </v>
      </c>
      <c r="H104" s="34" t="str">
        <f>IF(A104&lt;0,'CAR PROMAX FILIAL CRUZ'!J98," ")</f>
        <v xml:space="preserve"> </v>
      </c>
      <c r="I104" s="34"/>
      <c r="J104" s="34"/>
      <c r="K104" s="34" t="str">
        <f>IF(A104&lt;0,'CAR PROMAX FILIAL CRUZ'!O98," ")</f>
        <v xml:space="preserve"> </v>
      </c>
      <c r="L104" s="36" t="str">
        <f>IF(A104&lt;0,'CAR PROMAX FILIAL CRUZ'!P98," ")</f>
        <v xml:space="preserve"> </v>
      </c>
      <c r="M104" s="36" t="str">
        <f>IF(A104&lt;0,'CAR PROMAX FILIAL CRUZ'!Q98," ")</f>
        <v xml:space="preserve"> </v>
      </c>
      <c r="N104" s="36" t="str">
        <f>IF(A104&lt;0,'CAR PROMAX FILIAL CRUZ'!R98," ")</f>
        <v xml:space="preserve"> </v>
      </c>
      <c r="O104" s="37" t="str">
        <f>IF(A104&lt;0,'CAR PROMAX FILIAL CRUZ'!S98," ")</f>
        <v xml:space="preserve"> </v>
      </c>
      <c r="P104" s="37" t="str">
        <f>IF(A104&lt;0,'CAR PROMAX FILIAL CRUZ'!T98," ")</f>
        <v xml:space="preserve"> </v>
      </c>
      <c r="Q104" s="37" t="str">
        <f>IF(A104&lt;0,'CAR PROMAX FILIAL CRUZ'!U98," ")</f>
        <v xml:space="preserve"> </v>
      </c>
      <c r="R104" s="34" t="str">
        <f>IF(A104&lt;0,'CAR PROMAX FILIAL CRUZ'!V98," ")</f>
        <v xml:space="preserve"> </v>
      </c>
    </row>
    <row r="105" spans="1:18" x14ac:dyDescent="0.25">
      <c r="A105">
        <f>'CAR PROMAX FILIAL CRUZ'!O99</f>
        <v>5</v>
      </c>
      <c r="B105" s="33" t="str">
        <f t="shared" si="5"/>
        <v xml:space="preserve"> </v>
      </c>
      <c r="C105" s="33" t="str">
        <f t="shared" si="4"/>
        <v xml:space="preserve"> </v>
      </c>
      <c r="D105" s="34" t="str">
        <f>IF(A105&lt;0,'CAR PROMAX FILIAL CRUZ'!B99," ")</f>
        <v xml:space="preserve"> </v>
      </c>
      <c r="E105" s="35" t="str">
        <f>IF(A105&lt;0,'CAR PROMAX FILIAL CRUZ'!C99," ")</f>
        <v xml:space="preserve"> </v>
      </c>
      <c r="F105" s="34" t="str">
        <f>IF(A105&lt;0,'CAR PROMAX FILIAL CRUZ'!D99," ")</f>
        <v xml:space="preserve"> </v>
      </c>
      <c r="G105" s="34" t="str">
        <f>IF(A105&lt;0,'CAR PROMAX FILIAL CRUZ'!E99," ")</f>
        <v xml:space="preserve"> </v>
      </c>
      <c r="H105" s="34" t="str">
        <f>IF(A105&lt;0,'CAR PROMAX FILIAL CRUZ'!J99," ")</f>
        <v xml:space="preserve"> </v>
      </c>
      <c r="I105" s="34"/>
      <c r="J105" s="34"/>
      <c r="K105" s="34" t="str">
        <f>IF(A105&lt;0,'CAR PROMAX FILIAL CRUZ'!O99," ")</f>
        <v xml:space="preserve"> </v>
      </c>
      <c r="L105" s="36" t="str">
        <f>IF(A105&lt;0,'CAR PROMAX FILIAL CRUZ'!P99," ")</f>
        <v xml:space="preserve"> </v>
      </c>
      <c r="M105" s="36" t="str">
        <f>IF(A105&lt;0,'CAR PROMAX FILIAL CRUZ'!Q99," ")</f>
        <v xml:space="preserve"> </v>
      </c>
      <c r="N105" s="36" t="str">
        <f>IF(A105&lt;0,'CAR PROMAX FILIAL CRUZ'!R99," ")</f>
        <v xml:space="preserve"> </v>
      </c>
      <c r="O105" s="37" t="str">
        <f>IF(A105&lt;0,'CAR PROMAX FILIAL CRUZ'!S99," ")</f>
        <v xml:space="preserve"> </v>
      </c>
      <c r="P105" s="37" t="str">
        <f>IF(A105&lt;0,'CAR PROMAX FILIAL CRUZ'!T99," ")</f>
        <v xml:space="preserve"> </v>
      </c>
      <c r="Q105" s="37" t="str">
        <f>IF(A105&lt;0,'CAR PROMAX FILIAL CRUZ'!U99," ")</f>
        <v xml:space="preserve"> </v>
      </c>
      <c r="R105" s="34" t="str">
        <f>IF(A105&lt;0,'CAR PROMAX FILIAL CRUZ'!V99," ")</f>
        <v xml:space="preserve"> </v>
      </c>
    </row>
    <row r="106" spans="1:18" x14ac:dyDescent="0.25">
      <c r="A106">
        <f>'CAR PROMAX FILIAL CRUZ'!O100</f>
        <v>5</v>
      </c>
      <c r="B106" s="33" t="str">
        <f t="shared" si="5"/>
        <v xml:space="preserve"> </v>
      </c>
      <c r="C106" s="33" t="str">
        <f t="shared" si="4"/>
        <v xml:space="preserve"> </v>
      </c>
      <c r="D106" s="34" t="str">
        <f>IF(A106&lt;0,'CAR PROMAX FILIAL CRUZ'!B100," ")</f>
        <v xml:space="preserve"> </v>
      </c>
      <c r="E106" s="35" t="str">
        <f>IF(A106&lt;0,'CAR PROMAX FILIAL CRUZ'!C100," ")</f>
        <v xml:space="preserve"> </v>
      </c>
      <c r="F106" s="34" t="str">
        <f>IF(A106&lt;0,'CAR PROMAX FILIAL CRUZ'!D100," ")</f>
        <v xml:space="preserve"> </v>
      </c>
      <c r="G106" s="34" t="str">
        <f>IF(A106&lt;0,'CAR PROMAX FILIAL CRUZ'!E100," ")</f>
        <v xml:space="preserve"> </v>
      </c>
      <c r="H106" s="34" t="str">
        <f>IF(A106&lt;0,'CAR PROMAX FILIAL CRUZ'!J100," ")</f>
        <v xml:space="preserve"> </v>
      </c>
      <c r="I106" s="34"/>
      <c r="J106" s="34"/>
      <c r="K106" s="34" t="str">
        <f>IF(A106&lt;0,'CAR PROMAX FILIAL CRUZ'!O100," ")</f>
        <v xml:space="preserve"> </v>
      </c>
      <c r="L106" s="36" t="str">
        <f>IF(A106&lt;0,'CAR PROMAX FILIAL CRUZ'!P100," ")</f>
        <v xml:space="preserve"> </v>
      </c>
      <c r="M106" s="36" t="str">
        <f>IF(A106&lt;0,'CAR PROMAX FILIAL CRUZ'!Q100," ")</f>
        <v xml:space="preserve"> </v>
      </c>
      <c r="N106" s="36" t="str">
        <f>IF(A106&lt;0,'CAR PROMAX FILIAL CRUZ'!R100," ")</f>
        <v xml:space="preserve"> </v>
      </c>
      <c r="O106" s="37" t="str">
        <f>IF(A106&lt;0,'CAR PROMAX FILIAL CRUZ'!S100," ")</f>
        <v xml:space="preserve"> </v>
      </c>
      <c r="P106" s="37" t="str">
        <f>IF(A106&lt;0,'CAR PROMAX FILIAL CRUZ'!T100," ")</f>
        <v xml:space="preserve"> </v>
      </c>
      <c r="Q106" s="37" t="str">
        <f>IF(A106&lt;0,'CAR PROMAX FILIAL CRUZ'!U100," ")</f>
        <v xml:space="preserve"> </v>
      </c>
      <c r="R106" s="34" t="str">
        <f>IF(A106&lt;0,'CAR PROMAX FILIAL CRUZ'!V100," ")</f>
        <v xml:space="preserve"> </v>
      </c>
    </row>
    <row r="107" spans="1:18" x14ac:dyDescent="0.25">
      <c r="A107">
        <f>'CAR PROMAX FILIAL CRUZ'!O101</f>
        <v>5</v>
      </c>
      <c r="B107" s="33" t="str">
        <f t="shared" si="5"/>
        <v xml:space="preserve"> </v>
      </c>
      <c r="C107" s="33" t="str">
        <f t="shared" si="4"/>
        <v xml:space="preserve"> </v>
      </c>
      <c r="D107" s="34" t="str">
        <f>IF(A107&lt;0,'CAR PROMAX FILIAL CRUZ'!B101," ")</f>
        <v xml:space="preserve"> </v>
      </c>
      <c r="E107" s="35" t="str">
        <f>IF(A107&lt;0,'CAR PROMAX FILIAL CRUZ'!C101," ")</f>
        <v xml:space="preserve"> </v>
      </c>
      <c r="F107" s="34" t="str">
        <f>IF(A107&lt;0,'CAR PROMAX FILIAL CRUZ'!D101," ")</f>
        <v xml:space="preserve"> </v>
      </c>
      <c r="G107" s="34" t="str">
        <f>IF(A107&lt;0,'CAR PROMAX FILIAL CRUZ'!E101," ")</f>
        <v xml:space="preserve"> </v>
      </c>
      <c r="H107" s="34" t="str">
        <f>IF(A107&lt;0,'CAR PROMAX FILIAL CRUZ'!J101," ")</f>
        <v xml:space="preserve"> </v>
      </c>
      <c r="I107" s="34"/>
      <c r="J107" s="34"/>
      <c r="K107" s="34" t="str">
        <f>IF(A107&lt;0,'CAR PROMAX FILIAL CRUZ'!O101," ")</f>
        <v xml:space="preserve"> </v>
      </c>
      <c r="L107" s="36" t="str">
        <f>IF(A107&lt;0,'CAR PROMAX FILIAL CRUZ'!P101," ")</f>
        <v xml:space="preserve"> </v>
      </c>
      <c r="M107" s="36" t="str">
        <f>IF(A107&lt;0,'CAR PROMAX FILIAL CRUZ'!Q101," ")</f>
        <v xml:space="preserve"> </v>
      </c>
      <c r="N107" s="36" t="str">
        <f>IF(A107&lt;0,'CAR PROMAX FILIAL CRUZ'!R101," ")</f>
        <v xml:space="preserve"> </v>
      </c>
      <c r="O107" s="37" t="str">
        <f>IF(A107&lt;0,'CAR PROMAX FILIAL CRUZ'!S101," ")</f>
        <v xml:space="preserve"> </v>
      </c>
      <c r="P107" s="37" t="str">
        <f>IF(A107&lt;0,'CAR PROMAX FILIAL CRUZ'!T101," ")</f>
        <v xml:space="preserve"> </v>
      </c>
      <c r="Q107" s="37" t="str">
        <f>IF(A107&lt;0,'CAR PROMAX FILIAL CRUZ'!U101," ")</f>
        <v xml:space="preserve"> </v>
      </c>
      <c r="R107" s="34" t="str">
        <f>IF(A107&lt;0,'CAR PROMAX FILIAL CRUZ'!V101," ")</f>
        <v xml:space="preserve"> </v>
      </c>
    </row>
    <row r="108" spans="1:18" x14ac:dyDescent="0.25">
      <c r="A108">
        <f>'CAR PROMAX FILIAL CRUZ'!O102</f>
        <v>5</v>
      </c>
      <c r="B108" s="33" t="str">
        <f t="shared" si="5"/>
        <v xml:space="preserve"> </v>
      </c>
      <c r="C108" s="33" t="str">
        <f t="shared" si="4"/>
        <v xml:space="preserve"> </v>
      </c>
      <c r="D108" s="34" t="str">
        <f>IF(A108&lt;0,'CAR PROMAX FILIAL CRUZ'!B102," ")</f>
        <v xml:space="preserve"> </v>
      </c>
      <c r="E108" s="35" t="str">
        <f>IF(A108&lt;0,'CAR PROMAX FILIAL CRUZ'!C102," ")</f>
        <v xml:space="preserve"> </v>
      </c>
      <c r="F108" s="34" t="str">
        <f>IF(A108&lt;0,'CAR PROMAX FILIAL CRUZ'!D102," ")</f>
        <v xml:space="preserve"> </v>
      </c>
      <c r="G108" s="34" t="str">
        <f>IF(A108&lt;0,'CAR PROMAX FILIAL CRUZ'!E102," ")</f>
        <v xml:space="preserve"> </v>
      </c>
      <c r="H108" s="34" t="str">
        <f>IF(A108&lt;0,'CAR PROMAX FILIAL CRUZ'!J102," ")</f>
        <v xml:space="preserve"> </v>
      </c>
      <c r="I108" s="34"/>
      <c r="J108" s="34"/>
      <c r="K108" s="34" t="str">
        <f>IF(A108&lt;0,'CAR PROMAX FILIAL CRUZ'!O102," ")</f>
        <v xml:space="preserve"> </v>
      </c>
      <c r="L108" s="36" t="str">
        <f>IF(A108&lt;0,'CAR PROMAX FILIAL CRUZ'!P102," ")</f>
        <v xml:space="preserve"> </v>
      </c>
      <c r="M108" s="36" t="str">
        <f>IF(A108&lt;0,'CAR PROMAX FILIAL CRUZ'!Q102," ")</f>
        <v xml:space="preserve"> </v>
      </c>
      <c r="N108" s="36" t="str">
        <f>IF(A108&lt;0,'CAR PROMAX FILIAL CRUZ'!R102," ")</f>
        <v xml:space="preserve"> </v>
      </c>
      <c r="O108" s="37" t="str">
        <f>IF(A108&lt;0,'CAR PROMAX FILIAL CRUZ'!S102," ")</f>
        <v xml:space="preserve"> </v>
      </c>
      <c r="P108" s="37" t="str">
        <f>IF(A108&lt;0,'CAR PROMAX FILIAL CRUZ'!T102," ")</f>
        <v xml:space="preserve"> </v>
      </c>
      <c r="Q108" s="37" t="str">
        <f>IF(A108&lt;0,'CAR PROMAX FILIAL CRUZ'!U102," ")</f>
        <v xml:space="preserve"> </v>
      </c>
      <c r="R108" s="34" t="str">
        <f>IF(A108&lt;0,'CAR PROMAX FILIAL CRUZ'!V102," ")</f>
        <v xml:space="preserve"> </v>
      </c>
    </row>
    <row r="109" spans="1:18" x14ac:dyDescent="0.25">
      <c r="A109">
        <f>'CAR PROMAX FILIAL CRUZ'!O103</f>
        <v>5</v>
      </c>
      <c r="B109" s="33" t="str">
        <f t="shared" si="5"/>
        <v xml:space="preserve"> </v>
      </c>
      <c r="C109" s="33" t="str">
        <f t="shared" si="4"/>
        <v xml:space="preserve"> </v>
      </c>
      <c r="D109" s="34" t="str">
        <f>IF(A109&lt;0,'CAR PROMAX FILIAL CRUZ'!B103," ")</f>
        <v xml:space="preserve"> </v>
      </c>
      <c r="E109" s="35" t="str">
        <f>IF(A109&lt;0,'CAR PROMAX FILIAL CRUZ'!C103," ")</f>
        <v xml:space="preserve"> </v>
      </c>
      <c r="F109" s="34" t="str">
        <f>IF(A109&lt;0,'CAR PROMAX FILIAL CRUZ'!D103," ")</f>
        <v xml:space="preserve"> </v>
      </c>
      <c r="G109" s="34" t="str">
        <f>IF(A109&lt;0,'CAR PROMAX FILIAL CRUZ'!E103," ")</f>
        <v xml:space="preserve"> </v>
      </c>
      <c r="H109" s="34" t="str">
        <f>IF(A109&lt;0,'CAR PROMAX FILIAL CRUZ'!J103," ")</f>
        <v xml:space="preserve"> </v>
      </c>
      <c r="I109" s="34"/>
      <c r="J109" s="34"/>
      <c r="K109" s="34" t="str">
        <f>IF(A109&lt;0,'CAR PROMAX FILIAL CRUZ'!O103," ")</f>
        <v xml:space="preserve"> </v>
      </c>
      <c r="L109" s="36" t="str">
        <f>IF(A109&lt;0,'CAR PROMAX FILIAL CRUZ'!P103," ")</f>
        <v xml:space="preserve"> </v>
      </c>
      <c r="M109" s="36" t="str">
        <f>IF(A109&lt;0,'CAR PROMAX FILIAL CRUZ'!Q103," ")</f>
        <v xml:space="preserve"> </v>
      </c>
      <c r="N109" s="36" t="str">
        <f>IF(A109&lt;0,'CAR PROMAX FILIAL CRUZ'!R103," ")</f>
        <v xml:space="preserve"> </v>
      </c>
      <c r="O109" s="37" t="str">
        <f>IF(A109&lt;0,'CAR PROMAX FILIAL CRUZ'!S103," ")</f>
        <v xml:space="preserve"> </v>
      </c>
      <c r="P109" s="37" t="str">
        <f>IF(A109&lt;0,'CAR PROMAX FILIAL CRUZ'!T103," ")</f>
        <v xml:space="preserve"> </v>
      </c>
      <c r="Q109" s="37" t="str">
        <f>IF(A109&lt;0,'CAR PROMAX FILIAL CRUZ'!U103," ")</f>
        <v xml:space="preserve"> </v>
      </c>
      <c r="R109" s="34" t="str">
        <f>IF(A109&lt;0,'CAR PROMAX FILIAL CRUZ'!V103," ")</f>
        <v xml:space="preserve"> </v>
      </c>
    </row>
    <row r="110" spans="1:18" x14ac:dyDescent="0.25">
      <c r="A110">
        <f>'CAR PROMAX FILIAL CRUZ'!O104</f>
        <v>5</v>
      </c>
      <c r="B110" s="33" t="str">
        <f t="shared" si="5"/>
        <v xml:space="preserve"> </v>
      </c>
      <c r="C110" s="33" t="str">
        <f t="shared" si="4"/>
        <v xml:space="preserve"> </v>
      </c>
      <c r="D110" s="34" t="str">
        <f>IF(A110&lt;0,'CAR PROMAX FILIAL CRUZ'!B104," ")</f>
        <v xml:space="preserve"> </v>
      </c>
      <c r="E110" s="35" t="str">
        <f>IF(A110&lt;0,'CAR PROMAX FILIAL CRUZ'!C104," ")</f>
        <v xml:space="preserve"> </v>
      </c>
      <c r="F110" s="34" t="str">
        <f>IF(A110&lt;0,'CAR PROMAX FILIAL CRUZ'!D104," ")</f>
        <v xml:space="preserve"> </v>
      </c>
      <c r="G110" s="34" t="str">
        <f>IF(A110&lt;0,'CAR PROMAX FILIAL CRUZ'!E104," ")</f>
        <v xml:space="preserve"> </v>
      </c>
      <c r="H110" s="34" t="str">
        <f>IF(A110&lt;0,'CAR PROMAX FILIAL CRUZ'!J104," ")</f>
        <v xml:space="preserve"> </v>
      </c>
      <c r="I110" s="34"/>
      <c r="J110" s="34"/>
      <c r="K110" s="34" t="str">
        <f>IF(A110&lt;0,'CAR PROMAX FILIAL CRUZ'!O104," ")</f>
        <v xml:space="preserve"> </v>
      </c>
      <c r="L110" s="36" t="str">
        <f>IF(A110&lt;0,'CAR PROMAX FILIAL CRUZ'!P104," ")</f>
        <v xml:space="preserve"> </v>
      </c>
      <c r="M110" s="36" t="str">
        <f>IF(A110&lt;0,'CAR PROMAX FILIAL CRUZ'!Q104," ")</f>
        <v xml:space="preserve"> </v>
      </c>
      <c r="N110" s="36" t="str">
        <f>IF(A110&lt;0,'CAR PROMAX FILIAL CRUZ'!R104," ")</f>
        <v xml:space="preserve"> </v>
      </c>
      <c r="O110" s="37" t="str">
        <f>IF(A110&lt;0,'CAR PROMAX FILIAL CRUZ'!S104," ")</f>
        <v xml:space="preserve"> </v>
      </c>
      <c r="P110" s="37" t="str">
        <f>IF(A110&lt;0,'CAR PROMAX FILIAL CRUZ'!T104," ")</f>
        <v xml:space="preserve"> </v>
      </c>
      <c r="Q110" s="37" t="str">
        <f>IF(A110&lt;0,'CAR PROMAX FILIAL CRUZ'!U104," ")</f>
        <v xml:space="preserve"> </v>
      </c>
      <c r="R110" s="34" t="str">
        <f>IF(A110&lt;0,'CAR PROMAX FILIAL CRUZ'!V104," ")</f>
        <v xml:space="preserve"> </v>
      </c>
    </row>
    <row r="111" spans="1:18" x14ac:dyDescent="0.25">
      <c r="A111">
        <f>'CAR PROMAX FILIAL CRUZ'!O105</f>
        <v>5</v>
      </c>
      <c r="B111" s="33" t="str">
        <f t="shared" si="5"/>
        <v xml:space="preserve"> </v>
      </c>
      <c r="C111" s="33" t="str">
        <f t="shared" si="4"/>
        <v xml:space="preserve"> </v>
      </c>
      <c r="D111" s="34" t="str">
        <f>IF(A111&lt;0,'CAR PROMAX FILIAL CRUZ'!B105," ")</f>
        <v xml:space="preserve"> </v>
      </c>
      <c r="E111" s="35" t="str">
        <f>IF(A111&lt;0,'CAR PROMAX FILIAL CRUZ'!C105," ")</f>
        <v xml:space="preserve"> </v>
      </c>
      <c r="F111" s="34" t="str">
        <f>IF(A111&lt;0,'CAR PROMAX FILIAL CRUZ'!D105," ")</f>
        <v xml:space="preserve"> </v>
      </c>
      <c r="G111" s="34" t="str">
        <f>IF(A111&lt;0,'CAR PROMAX FILIAL CRUZ'!E105," ")</f>
        <v xml:space="preserve"> </v>
      </c>
      <c r="H111" s="34" t="str">
        <f>IF(A111&lt;0,'CAR PROMAX FILIAL CRUZ'!J105," ")</f>
        <v xml:space="preserve"> </v>
      </c>
      <c r="I111" s="34"/>
      <c r="J111" s="34"/>
      <c r="K111" s="34" t="str">
        <f>IF(A111&lt;0,'CAR PROMAX FILIAL CRUZ'!O105," ")</f>
        <v xml:space="preserve"> </v>
      </c>
      <c r="L111" s="36" t="str">
        <f>IF(A111&lt;0,'CAR PROMAX FILIAL CRUZ'!P105," ")</f>
        <v xml:space="preserve"> </v>
      </c>
      <c r="M111" s="36" t="str">
        <f>IF(A111&lt;0,'CAR PROMAX FILIAL CRUZ'!Q105," ")</f>
        <v xml:space="preserve"> </v>
      </c>
      <c r="N111" s="36" t="str">
        <f>IF(A111&lt;0,'CAR PROMAX FILIAL CRUZ'!R105," ")</f>
        <v xml:space="preserve"> </v>
      </c>
      <c r="O111" s="37" t="str">
        <f>IF(A111&lt;0,'CAR PROMAX FILIAL CRUZ'!S105," ")</f>
        <v xml:space="preserve"> </v>
      </c>
      <c r="P111" s="37" t="str">
        <f>IF(A111&lt;0,'CAR PROMAX FILIAL CRUZ'!T105," ")</f>
        <v xml:space="preserve"> </v>
      </c>
      <c r="Q111" s="37" t="str">
        <f>IF(A111&lt;0,'CAR PROMAX FILIAL CRUZ'!U105," ")</f>
        <v xml:space="preserve"> </v>
      </c>
      <c r="R111" s="34" t="str">
        <f>IF(A111&lt;0,'CAR PROMAX FILIAL CRUZ'!V105," ")</f>
        <v xml:space="preserve"> </v>
      </c>
    </row>
    <row r="112" spans="1:18" x14ac:dyDescent="0.25">
      <c r="A112">
        <f>'CAR PROMAX FILIAL CRUZ'!O106</f>
        <v>5</v>
      </c>
      <c r="B112" s="33" t="str">
        <f t="shared" si="5"/>
        <v xml:space="preserve"> </v>
      </c>
      <c r="C112" s="33" t="str">
        <f t="shared" si="4"/>
        <v xml:space="preserve"> </v>
      </c>
      <c r="D112" s="34" t="str">
        <f>IF(A112&lt;0,'CAR PROMAX FILIAL CRUZ'!B106," ")</f>
        <v xml:space="preserve"> </v>
      </c>
      <c r="E112" s="35" t="str">
        <f>IF(A112&lt;0,'CAR PROMAX FILIAL CRUZ'!C106," ")</f>
        <v xml:space="preserve"> </v>
      </c>
      <c r="F112" s="34" t="str">
        <f>IF(A112&lt;0,'CAR PROMAX FILIAL CRUZ'!D106," ")</f>
        <v xml:space="preserve"> </v>
      </c>
      <c r="G112" s="34" t="str">
        <f>IF(A112&lt;0,'CAR PROMAX FILIAL CRUZ'!E106," ")</f>
        <v xml:space="preserve"> </v>
      </c>
      <c r="H112" s="34" t="str">
        <f>IF(A112&lt;0,'CAR PROMAX FILIAL CRUZ'!J106," ")</f>
        <v xml:space="preserve"> </v>
      </c>
      <c r="I112" s="34"/>
      <c r="J112" s="34"/>
      <c r="K112" s="34" t="str">
        <f>IF(A112&lt;0,'CAR PROMAX FILIAL CRUZ'!O106," ")</f>
        <v xml:space="preserve"> </v>
      </c>
      <c r="L112" s="36" t="str">
        <f>IF(A112&lt;0,'CAR PROMAX FILIAL CRUZ'!P106," ")</f>
        <v xml:space="preserve"> </v>
      </c>
      <c r="M112" s="36" t="str">
        <f>IF(A112&lt;0,'CAR PROMAX FILIAL CRUZ'!Q106," ")</f>
        <v xml:space="preserve"> </v>
      </c>
      <c r="N112" s="36" t="str">
        <f>IF(A112&lt;0,'CAR PROMAX FILIAL CRUZ'!R106," ")</f>
        <v xml:space="preserve"> </v>
      </c>
      <c r="O112" s="37" t="str">
        <f>IF(A112&lt;0,'CAR PROMAX FILIAL CRUZ'!S106," ")</f>
        <v xml:space="preserve"> </v>
      </c>
      <c r="P112" s="37" t="str">
        <f>IF(A112&lt;0,'CAR PROMAX FILIAL CRUZ'!T106," ")</f>
        <v xml:space="preserve"> </v>
      </c>
      <c r="Q112" s="37" t="str">
        <f>IF(A112&lt;0,'CAR PROMAX FILIAL CRUZ'!U106," ")</f>
        <v xml:space="preserve"> </v>
      </c>
      <c r="R112" s="34" t="str">
        <f>IF(A112&lt;0,'CAR PROMAX FILIAL CRUZ'!V106," ")</f>
        <v xml:space="preserve"> </v>
      </c>
    </row>
    <row r="113" spans="1:18" x14ac:dyDescent="0.25">
      <c r="A113">
        <f>'CAR PROMAX FILIAL CRUZ'!O107</f>
        <v>5</v>
      </c>
      <c r="B113" s="33" t="str">
        <f t="shared" si="5"/>
        <v xml:space="preserve"> </v>
      </c>
      <c r="C113" s="33" t="str">
        <f t="shared" si="4"/>
        <v xml:space="preserve"> </v>
      </c>
      <c r="D113" s="34" t="str">
        <f>IF(A113&lt;0,'CAR PROMAX FILIAL CRUZ'!B107," ")</f>
        <v xml:space="preserve"> </v>
      </c>
      <c r="E113" s="35" t="str">
        <f>IF(A113&lt;0,'CAR PROMAX FILIAL CRUZ'!C107," ")</f>
        <v xml:space="preserve"> </v>
      </c>
      <c r="F113" s="34" t="str">
        <f>IF(A113&lt;0,'CAR PROMAX FILIAL CRUZ'!D107," ")</f>
        <v xml:space="preserve"> </v>
      </c>
      <c r="G113" s="34" t="str">
        <f>IF(A113&lt;0,'CAR PROMAX FILIAL CRUZ'!E107," ")</f>
        <v xml:space="preserve"> </v>
      </c>
      <c r="H113" s="34" t="str">
        <f>IF(A113&lt;0,'CAR PROMAX FILIAL CRUZ'!J107," ")</f>
        <v xml:space="preserve"> </v>
      </c>
      <c r="I113" s="34"/>
      <c r="J113" s="34"/>
      <c r="K113" s="34" t="str">
        <f>IF(A113&lt;0,'CAR PROMAX FILIAL CRUZ'!O107," ")</f>
        <v xml:space="preserve"> </v>
      </c>
      <c r="L113" s="36" t="str">
        <f>IF(A113&lt;0,'CAR PROMAX FILIAL CRUZ'!P107," ")</f>
        <v xml:space="preserve"> </v>
      </c>
      <c r="M113" s="36" t="str">
        <f>IF(A113&lt;0,'CAR PROMAX FILIAL CRUZ'!Q107," ")</f>
        <v xml:space="preserve"> </v>
      </c>
      <c r="N113" s="36" t="str">
        <f>IF(A113&lt;0,'CAR PROMAX FILIAL CRUZ'!R107," ")</f>
        <v xml:space="preserve"> </v>
      </c>
      <c r="O113" s="37" t="str">
        <f>IF(A113&lt;0,'CAR PROMAX FILIAL CRUZ'!S107," ")</f>
        <v xml:space="preserve"> </v>
      </c>
      <c r="P113" s="37" t="str">
        <f>IF(A113&lt;0,'CAR PROMAX FILIAL CRUZ'!T107," ")</f>
        <v xml:space="preserve"> </v>
      </c>
      <c r="Q113" s="37" t="str">
        <f>IF(A113&lt;0,'CAR PROMAX FILIAL CRUZ'!U107," ")</f>
        <v xml:space="preserve"> </v>
      </c>
      <c r="R113" s="34" t="str">
        <f>IF(A113&lt;0,'CAR PROMAX FILIAL CRUZ'!V107," ")</f>
        <v xml:space="preserve"> </v>
      </c>
    </row>
    <row r="114" spans="1:18" x14ac:dyDescent="0.25">
      <c r="A114">
        <f>'CAR PROMAX FILIAL CRUZ'!O108</f>
        <v>5</v>
      </c>
      <c r="B114" s="33" t="str">
        <f t="shared" si="5"/>
        <v xml:space="preserve"> </v>
      </c>
      <c r="C114" s="33" t="str">
        <f t="shared" si="4"/>
        <v xml:space="preserve"> </v>
      </c>
      <c r="D114" s="34" t="str">
        <f>IF(A114&lt;0,'CAR PROMAX FILIAL CRUZ'!B108," ")</f>
        <v xml:space="preserve"> </v>
      </c>
      <c r="E114" s="35" t="str">
        <f>IF(A114&lt;0,'CAR PROMAX FILIAL CRUZ'!C108," ")</f>
        <v xml:space="preserve"> </v>
      </c>
      <c r="F114" s="34" t="str">
        <f>IF(A114&lt;0,'CAR PROMAX FILIAL CRUZ'!D108," ")</f>
        <v xml:space="preserve"> </v>
      </c>
      <c r="G114" s="34" t="str">
        <f>IF(A114&lt;0,'CAR PROMAX FILIAL CRUZ'!E108," ")</f>
        <v xml:space="preserve"> </v>
      </c>
      <c r="H114" s="34" t="str">
        <f>IF(A114&lt;0,'CAR PROMAX FILIAL CRUZ'!J108," ")</f>
        <v xml:space="preserve"> </v>
      </c>
      <c r="I114" s="34"/>
      <c r="J114" s="34"/>
      <c r="K114" s="34" t="str">
        <f>IF(A114&lt;0,'CAR PROMAX FILIAL CRUZ'!O108," ")</f>
        <v xml:space="preserve"> </v>
      </c>
      <c r="L114" s="36" t="str">
        <f>IF(A114&lt;0,'CAR PROMAX FILIAL CRUZ'!P108," ")</f>
        <v xml:space="preserve"> </v>
      </c>
      <c r="M114" s="36" t="str">
        <f>IF(A114&lt;0,'CAR PROMAX FILIAL CRUZ'!Q108," ")</f>
        <v xml:space="preserve"> </v>
      </c>
      <c r="N114" s="36" t="str">
        <f>IF(A114&lt;0,'CAR PROMAX FILIAL CRUZ'!R108," ")</f>
        <v xml:space="preserve"> </v>
      </c>
      <c r="O114" s="37" t="str">
        <f>IF(A114&lt;0,'CAR PROMAX FILIAL CRUZ'!S108," ")</f>
        <v xml:space="preserve"> </v>
      </c>
      <c r="P114" s="37" t="str">
        <f>IF(A114&lt;0,'CAR PROMAX FILIAL CRUZ'!T108," ")</f>
        <v xml:space="preserve"> </v>
      </c>
      <c r="Q114" s="37" t="str">
        <f>IF(A114&lt;0,'CAR PROMAX FILIAL CRUZ'!U108," ")</f>
        <v xml:space="preserve"> </v>
      </c>
      <c r="R114" s="34" t="str">
        <f>IF(A114&lt;0,'CAR PROMAX FILIAL CRUZ'!V108," ")</f>
        <v xml:space="preserve"> </v>
      </c>
    </row>
    <row r="115" spans="1:18" x14ac:dyDescent="0.25">
      <c r="A115">
        <f>'CAR PROMAX FILIAL CRUZ'!O109</f>
        <v>5</v>
      </c>
      <c r="B115" s="33" t="str">
        <f t="shared" si="5"/>
        <v xml:space="preserve"> </v>
      </c>
      <c r="C115" s="33" t="str">
        <f t="shared" si="4"/>
        <v xml:space="preserve"> </v>
      </c>
      <c r="D115" s="34" t="str">
        <f>IF(A115&lt;0,'CAR PROMAX FILIAL CRUZ'!B109," ")</f>
        <v xml:space="preserve"> </v>
      </c>
      <c r="E115" s="35" t="str">
        <f>IF(A115&lt;0,'CAR PROMAX FILIAL CRUZ'!C109," ")</f>
        <v xml:space="preserve"> </v>
      </c>
      <c r="F115" s="34" t="str">
        <f>IF(A115&lt;0,'CAR PROMAX FILIAL CRUZ'!D109," ")</f>
        <v xml:space="preserve"> </v>
      </c>
      <c r="G115" s="34" t="str">
        <f>IF(A115&lt;0,'CAR PROMAX FILIAL CRUZ'!E109," ")</f>
        <v xml:space="preserve"> </v>
      </c>
      <c r="H115" s="34" t="str">
        <f>IF(A115&lt;0,'CAR PROMAX FILIAL CRUZ'!J109," ")</f>
        <v xml:space="preserve"> </v>
      </c>
      <c r="I115" s="34"/>
      <c r="J115" s="34"/>
      <c r="K115" s="34" t="str">
        <f>IF(A115&lt;0,'CAR PROMAX FILIAL CRUZ'!O109," ")</f>
        <v xml:space="preserve"> </v>
      </c>
      <c r="L115" s="36" t="str">
        <f>IF(A115&lt;0,'CAR PROMAX FILIAL CRUZ'!P109," ")</f>
        <v xml:space="preserve"> </v>
      </c>
      <c r="M115" s="36" t="str">
        <f>IF(A115&lt;0,'CAR PROMAX FILIAL CRUZ'!Q109," ")</f>
        <v xml:space="preserve"> </v>
      </c>
      <c r="N115" s="36" t="str">
        <f>IF(A115&lt;0,'CAR PROMAX FILIAL CRUZ'!R109," ")</f>
        <v xml:space="preserve"> </v>
      </c>
      <c r="O115" s="37" t="str">
        <f>IF(A115&lt;0,'CAR PROMAX FILIAL CRUZ'!S109," ")</f>
        <v xml:space="preserve"> </v>
      </c>
      <c r="P115" s="37" t="str">
        <f>IF(A115&lt;0,'CAR PROMAX FILIAL CRUZ'!T109," ")</f>
        <v xml:space="preserve"> </v>
      </c>
      <c r="Q115" s="37" t="str">
        <f>IF(A115&lt;0,'CAR PROMAX FILIAL CRUZ'!U109," ")</f>
        <v xml:space="preserve"> </v>
      </c>
      <c r="R115" s="34" t="str">
        <f>IF(A115&lt;0,'CAR PROMAX FILIAL CRUZ'!V109," ")</f>
        <v xml:space="preserve"> </v>
      </c>
    </row>
    <row r="116" spans="1:18" x14ac:dyDescent="0.25">
      <c r="A116">
        <f>'CAR PROMAX FILIAL CRUZ'!O110</f>
        <v>5</v>
      </c>
      <c r="B116" s="33" t="str">
        <f t="shared" si="5"/>
        <v xml:space="preserve"> </v>
      </c>
      <c r="C116" s="33" t="str">
        <f t="shared" si="4"/>
        <v xml:space="preserve"> </v>
      </c>
      <c r="D116" s="34" t="str">
        <f>IF(A116&lt;0,'CAR PROMAX FILIAL CRUZ'!B110," ")</f>
        <v xml:space="preserve"> </v>
      </c>
      <c r="E116" s="35" t="str">
        <f>IF(A116&lt;0,'CAR PROMAX FILIAL CRUZ'!C110," ")</f>
        <v xml:space="preserve"> </v>
      </c>
      <c r="F116" s="34" t="str">
        <f>IF(A116&lt;0,'CAR PROMAX FILIAL CRUZ'!D110," ")</f>
        <v xml:space="preserve"> </v>
      </c>
      <c r="G116" s="34" t="str">
        <f>IF(A116&lt;0,'CAR PROMAX FILIAL CRUZ'!E110," ")</f>
        <v xml:space="preserve"> </v>
      </c>
      <c r="H116" s="34" t="str">
        <f>IF(A116&lt;0,'CAR PROMAX FILIAL CRUZ'!J110," ")</f>
        <v xml:space="preserve"> </v>
      </c>
      <c r="I116" s="34"/>
      <c r="J116" s="34"/>
      <c r="K116" s="34" t="str">
        <f>IF(A116&lt;0,'CAR PROMAX FILIAL CRUZ'!O110," ")</f>
        <v xml:space="preserve"> </v>
      </c>
      <c r="L116" s="36" t="str">
        <f>IF(A116&lt;0,'CAR PROMAX FILIAL CRUZ'!P110," ")</f>
        <v xml:space="preserve"> </v>
      </c>
      <c r="M116" s="36" t="str">
        <f>IF(A116&lt;0,'CAR PROMAX FILIAL CRUZ'!Q110," ")</f>
        <v xml:space="preserve"> </v>
      </c>
      <c r="N116" s="36" t="str">
        <f>IF(A116&lt;0,'CAR PROMAX FILIAL CRUZ'!R110," ")</f>
        <v xml:space="preserve"> </v>
      </c>
      <c r="O116" s="37" t="str">
        <f>IF(A116&lt;0,'CAR PROMAX FILIAL CRUZ'!S110," ")</f>
        <v xml:space="preserve"> </v>
      </c>
      <c r="P116" s="37" t="str">
        <f>IF(A116&lt;0,'CAR PROMAX FILIAL CRUZ'!T110," ")</f>
        <v xml:space="preserve"> </v>
      </c>
      <c r="Q116" s="37" t="str">
        <f>IF(A116&lt;0,'CAR PROMAX FILIAL CRUZ'!U110," ")</f>
        <v xml:space="preserve"> </v>
      </c>
      <c r="R116" s="34" t="str">
        <f>IF(A116&lt;0,'CAR PROMAX FILIAL CRUZ'!V110," ")</f>
        <v xml:space="preserve"> </v>
      </c>
    </row>
    <row r="117" spans="1:18" x14ac:dyDescent="0.25">
      <c r="A117">
        <f>'CAR PROMAX FILIAL CRUZ'!O111</f>
        <v>5</v>
      </c>
      <c r="B117" s="33" t="str">
        <f t="shared" si="5"/>
        <v xml:space="preserve"> </v>
      </c>
      <c r="C117" s="33" t="str">
        <f t="shared" si="4"/>
        <v xml:space="preserve"> </v>
      </c>
      <c r="D117" s="34" t="str">
        <f>IF(A117&lt;0,'CAR PROMAX FILIAL CRUZ'!B111," ")</f>
        <v xml:space="preserve"> </v>
      </c>
      <c r="E117" s="35" t="str">
        <f>IF(A117&lt;0,'CAR PROMAX FILIAL CRUZ'!C111," ")</f>
        <v xml:space="preserve"> </v>
      </c>
      <c r="F117" s="34" t="str">
        <f>IF(A117&lt;0,'CAR PROMAX FILIAL CRUZ'!D111," ")</f>
        <v xml:space="preserve"> </v>
      </c>
      <c r="G117" s="34" t="str">
        <f>IF(A117&lt;0,'CAR PROMAX FILIAL CRUZ'!E111," ")</f>
        <v xml:space="preserve"> </v>
      </c>
      <c r="H117" s="34" t="str">
        <f>IF(A117&lt;0,'CAR PROMAX FILIAL CRUZ'!J111," ")</f>
        <v xml:space="preserve"> </v>
      </c>
      <c r="I117" s="34"/>
      <c r="J117" s="34"/>
      <c r="K117" s="34" t="str">
        <f>IF(A117&lt;0,'CAR PROMAX FILIAL CRUZ'!O111," ")</f>
        <v xml:space="preserve"> </v>
      </c>
      <c r="L117" s="36" t="str">
        <f>IF(A117&lt;0,'CAR PROMAX FILIAL CRUZ'!P111," ")</f>
        <v xml:space="preserve"> </v>
      </c>
      <c r="M117" s="36" t="str">
        <f>IF(A117&lt;0,'CAR PROMAX FILIAL CRUZ'!Q111," ")</f>
        <v xml:space="preserve"> </v>
      </c>
      <c r="N117" s="36" t="str">
        <f>IF(A117&lt;0,'CAR PROMAX FILIAL CRUZ'!R111," ")</f>
        <v xml:space="preserve"> </v>
      </c>
      <c r="O117" s="37" t="str">
        <f>IF(A117&lt;0,'CAR PROMAX FILIAL CRUZ'!S111," ")</f>
        <v xml:space="preserve"> </v>
      </c>
      <c r="P117" s="37" t="str">
        <f>IF(A117&lt;0,'CAR PROMAX FILIAL CRUZ'!T111," ")</f>
        <v xml:space="preserve"> </v>
      </c>
      <c r="Q117" s="37" t="str">
        <f>IF(A117&lt;0,'CAR PROMAX FILIAL CRUZ'!U111," ")</f>
        <v xml:space="preserve"> </v>
      </c>
      <c r="R117" s="34" t="str">
        <f>IF(A117&lt;0,'CAR PROMAX FILIAL CRUZ'!V111," ")</f>
        <v xml:space="preserve"> </v>
      </c>
    </row>
    <row r="118" spans="1:18" x14ac:dyDescent="0.25">
      <c r="A118">
        <f>'CAR PROMAX FILIAL CRUZ'!O112</f>
        <v>5</v>
      </c>
      <c r="B118" s="33" t="str">
        <f t="shared" si="5"/>
        <v xml:space="preserve"> </v>
      </c>
      <c r="C118" s="33" t="str">
        <f t="shared" si="4"/>
        <v xml:space="preserve"> </v>
      </c>
      <c r="D118" s="34" t="str">
        <f>IF(A118&lt;0,'CAR PROMAX FILIAL CRUZ'!B112," ")</f>
        <v xml:space="preserve"> </v>
      </c>
      <c r="E118" s="35" t="str">
        <f>IF(A118&lt;0,'CAR PROMAX FILIAL CRUZ'!C112," ")</f>
        <v xml:space="preserve"> </v>
      </c>
      <c r="F118" s="34" t="str">
        <f>IF(A118&lt;0,'CAR PROMAX FILIAL CRUZ'!D112," ")</f>
        <v xml:space="preserve"> </v>
      </c>
      <c r="G118" s="34" t="str">
        <f>IF(A118&lt;0,'CAR PROMAX FILIAL CRUZ'!E112," ")</f>
        <v xml:space="preserve"> </v>
      </c>
      <c r="H118" s="34" t="str">
        <f>IF(A118&lt;0,'CAR PROMAX FILIAL CRUZ'!J112," ")</f>
        <v xml:space="preserve"> </v>
      </c>
      <c r="I118" s="34"/>
      <c r="J118" s="34"/>
      <c r="K118" s="34" t="str">
        <f>IF(A118&lt;0,'CAR PROMAX FILIAL CRUZ'!O112," ")</f>
        <v xml:space="preserve"> </v>
      </c>
      <c r="L118" s="36" t="str">
        <f>IF(A118&lt;0,'CAR PROMAX FILIAL CRUZ'!P112," ")</f>
        <v xml:space="preserve"> </v>
      </c>
      <c r="M118" s="36" t="str">
        <f>IF(A118&lt;0,'CAR PROMAX FILIAL CRUZ'!Q112," ")</f>
        <v xml:space="preserve"> </v>
      </c>
      <c r="N118" s="36" t="str">
        <f>IF(A118&lt;0,'CAR PROMAX FILIAL CRUZ'!R112," ")</f>
        <v xml:space="preserve"> </v>
      </c>
      <c r="O118" s="37" t="str">
        <f>IF(A118&lt;0,'CAR PROMAX FILIAL CRUZ'!S112," ")</f>
        <v xml:space="preserve"> </v>
      </c>
      <c r="P118" s="37" t="str">
        <f>IF(A118&lt;0,'CAR PROMAX FILIAL CRUZ'!T112," ")</f>
        <v xml:space="preserve"> </v>
      </c>
      <c r="Q118" s="37" t="str">
        <f>IF(A118&lt;0,'CAR PROMAX FILIAL CRUZ'!U112," ")</f>
        <v xml:space="preserve"> </v>
      </c>
      <c r="R118" s="34" t="str">
        <f>IF(A118&lt;0,'CAR PROMAX FILIAL CRUZ'!V112," ")</f>
        <v xml:space="preserve"> </v>
      </c>
    </row>
    <row r="119" spans="1:18" x14ac:dyDescent="0.25">
      <c r="A119">
        <f>'CAR PROMAX FILIAL CRUZ'!O113</f>
        <v>5</v>
      </c>
      <c r="B119" s="33" t="str">
        <f t="shared" si="5"/>
        <v xml:space="preserve"> </v>
      </c>
      <c r="C119" s="33" t="str">
        <f t="shared" si="4"/>
        <v xml:space="preserve"> </v>
      </c>
      <c r="D119" s="34" t="str">
        <f>IF(A119&lt;0,'CAR PROMAX FILIAL CRUZ'!B113," ")</f>
        <v xml:space="preserve"> </v>
      </c>
      <c r="E119" s="35" t="str">
        <f>IF(A119&lt;0,'CAR PROMAX FILIAL CRUZ'!C113," ")</f>
        <v xml:space="preserve"> </v>
      </c>
      <c r="F119" s="34" t="str">
        <f>IF(A119&lt;0,'CAR PROMAX FILIAL CRUZ'!D113," ")</f>
        <v xml:space="preserve"> </v>
      </c>
      <c r="G119" s="34" t="str">
        <f>IF(A119&lt;0,'CAR PROMAX FILIAL CRUZ'!E113," ")</f>
        <v xml:space="preserve"> </v>
      </c>
      <c r="H119" s="34" t="str">
        <f>IF(A119&lt;0,'CAR PROMAX FILIAL CRUZ'!J113," ")</f>
        <v xml:space="preserve"> </v>
      </c>
      <c r="I119" s="34"/>
      <c r="J119" s="34"/>
      <c r="K119" s="34" t="str">
        <f>IF(A119&lt;0,'CAR PROMAX FILIAL CRUZ'!O113," ")</f>
        <v xml:space="preserve"> </v>
      </c>
      <c r="L119" s="36" t="str">
        <f>IF(A119&lt;0,'CAR PROMAX FILIAL CRUZ'!P113," ")</f>
        <v xml:space="preserve"> </v>
      </c>
      <c r="M119" s="36" t="str">
        <f>IF(A119&lt;0,'CAR PROMAX FILIAL CRUZ'!Q113," ")</f>
        <v xml:space="preserve"> </v>
      </c>
      <c r="N119" s="36" t="str">
        <f>IF(A119&lt;0,'CAR PROMAX FILIAL CRUZ'!R113," ")</f>
        <v xml:space="preserve"> </v>
      </c>
      <c r="O119" s="37" t="str">
        <f>IF(A119&lt;0,'CAR PROMAX FILIAL CRUZ'!S113," ")</f>
        <v xml:space="preserve"> </v>
      </c>
      <c r="P119" s="37" t="str">
        <f>IF(A119&lt;0,'CAR PROMAX FILIAL CRUZ'!T113," ")</f>
        <v xml:space="preserve"> </v>
      </c>
      <c r="Q119" s="37" t="str">
        <f>IF(A119&lt;0,'CAR PROMAX FILIAL CRUZ'!U113," ")</f>
        <v xml:space="preserve"> </v>
      </c>
      <c r="R119" s="34" t="str">
        <f>IF(A119&lt;0,'CAR PROMAX FILIAL CRUZ'!V113," ")</f>
        <v xml:space="preserve"> </v>
      </c>
    </row>
    <row r="120" spans="1:18" x14ac:dyDescent="0.25">
      <c r="A120">
        <f>'CAR PROMAX FILIAL CRUZ'!O114</f>
        <v>5</v>
      </c>
      <c r="B120" s="33" t="str">
        <f t="shared" si="5"/>
        <v xml:space="preserve"> </v>
      </c>
      <c r="C120" s="33" t="str">
        <f t="shared" si="4"/>
        <v xml:space="preserve"> </v>
      </c>
      <c r="D120" s="34" t="str">
        <f>IF(A120&lt;0,'CAR PROMAX FILIAL CRUZ'!B114," ")</f>
        <v xml:space="preserve"> </v>
      </c>
      <c r="E120" s="35" t="str">
        <f>IF(A120&lt;0,'CAR PROMAX FILIAL CRUZ'!C114," ")</f>
        <v xml:space="preserve"> </v>
      </c>
      <c r="F120" s="34" t="str">
        <f>IF(A120&lt;0,'CAR PROMAX FILIAL CRUZ'!D114," ")</f>
        <v xml:space="preserve"> </v>
      </c>
      <c r="G120" s="34" t="str">
        <f>IF(A120&lt;0,'CAR PROMAX FILIAL CRUZ'!E114," ")</f>
        <v xml:space="preserve"> </v>
      </c>
      <c r="H120" s="34" t="str">
        <f>IF(A120&lt;0,'CAR PROMAX FILIAL CRUZ'!J114," ")</f>
        <v xml:space="preserve"> </v>
      </c>
      <c r="I120" s="34"/>
      <c r="J120" s="34"/>
      <c r="K120" s="34" t="str">
        <f>IF(A120&lt;0,'CAR PROMAX FILIAL CRUZ'!O114," ")</f>
        <v xml:space="preserve"> </v>
      </c>
      <c r="L120" s="36" t="str">
        <f>IF(A120&lt;0,'CAR PROMAX FILIAL CRUZ'!P114," ")</f>
        <v xml:space="preserve"> </v>
      </c>
      <c r="M120" s="36" t="str">
        <f>IF(A120&lt;0,'CAR PROMAX FILIAL CRUZ'!Q114," ")</f>
        <v xml:space="preserve"> </v>
      </c>
      <c r="N120" s="36" t="str">
        <f>IF(A120&lt;0,'CAR PROMAX FILIAL CRUZ'!R114," ")</f>
        <v xml:space="preserve"> </v>
      </c>
      <c r="O120" s="37" t="str">
        <f>IF(A120&lt;0,'CAR PROMAX FILIAL CRUZ'!S114," ")</f>
        <v xml:space="preserve"> </v>
      </c>
      <c r="P120" s="37" t="str">
        <f>IF(A120&lt;0,'CAR PROMAX FILIAL CRUZ'!T114," ")</f>
        <v xml:space="preserve"> </v>
      </c>
      <c r="Q120" s="37" t="str">
        <f>IF(A120&lt;0,'CAR PROMAX FILIAL CRUZ'!U114," ")</f>
        <v xml:space="preserve"> </v>
      </c>
      <c r="R120" s="34" t="str">
        <f>IF(A120&lt;0,'CAR PROMAX FILIAL CRUZ'!V114," ")</f>
        <v xml:space="preserve"> </v>
      </c>
    </row>
    <row r="121" spans="1:18" x14ac:dyDescent="0.25">
      <c r="A121">
        <f>'CAR PROMAX FILIAL CRUZ'!O115</f>
        <v>5</v>
      </c>
      <c r="B121" s="33" t="str">
        <f t="shared" si="5"/>
        <v xml:space="preserve"> </v>
      </c>
      <c r="C121" s="33" t="str">
        <f t="shared" si="4"/>
        <v xml:space="preserve"> </v>
      </c>
      <c r="D121" s="34" t="str">
        <f>IF(A121&lt;0,'CAR PROMAX FILIAL CRUZ'!B115," ")</f>
        <v xml:space="preserve"> </v>
      </c>
      <c r="E121" s="35" t="str">
        <f>IF(A121&lt;0,'CAR PROMAX FILIAL CRUZ'!C115," ")</f>
        <v xml:space="preserve"> </v>
      </c>
      <c r="F121" s="34" t="str">
        <f>IF(A121&lt;0,'CAR PROMAX FILIAL CRUZ'!D115," ")</f>
        <v xml:space="preserve"> </v>
      </c>
      <c r="G121" s="34" t="str">
        <f>IF(A121&lt;0,'CAR PROMAX FILIAL CRUZ'!E115," ")</f>
        <v xml:space="preserve"> </v>
      </c>
      <c r="H121" s="34" t="str">
        <f>IF(A121&lt;0,'CAR PROMAX FILIAL CRUZ'!J115," ")</f>
        <v xml:space="preserve"> </v>
      </c>
      <c r="I121" s="34"/>
      <c r="J121" s="34"/>
      <c r="K121" s="34" t="str">
        <f>IF(A121&lt;0,'CAR PROMAX FILIAL CRUZ'!O115," ")</f>
        <v xml:space="preserve"> </v>
      </c>
      <c r="L121" s="36" t="str">
        <f>IF(A121&lt;0,'CAR PROMAX FILIAL CRUZ'!P115," ")</f>
        <v xml:space="preserve"> </v>
      </c>
      <c r="M121" s="36" t="str">
        <f>IF(A121&lt;0,'CAR PROMAX FILIAL CRUZ'!Q115," ")</f>
        <v xml:space="preserve"> </v>
      </c>
      <c r="N121" s="36" t="str">
        <f>IF(A121&lt;0,'CAR PROMAX FILIAL CRUZ'!R115," ")</f>
        <v xml:space="preserve"> </v>
      </c>
      <c r="O121" s="37" t="str">
        <f>IF(A121&lt;0,'CAR PROMAX FILIAL CRUZ'!S115," ")</f>
        <v xml:space="preserve"> </v>
      </c>
      <c r="P121" s="37" t="str">
        <f>IF(A121&lt;0,'CAR PROMAX FILIAL CRUZ'!T115," ")</f>
        <v xml:space="preserve"> </v>
      </c>
      <c r="Q121" s="37" t="str">
        <f>IF(A121&lt;0,'CAR PROMAX FILIAL CRUZ'!U115," ")</f>
        <v xml:space="preserve"> </v>
      </c>
      <c r="R121" s="34" t="str">
        <f>IF(A121&lt;0,'CAR PROMAX FILIAL CRUZ'!V115," ")</f>
        <v xml:space="preserve"> </v>
      </c>
    </row>
    <row r="122" spans="1:18" x14ac:dyDescent="0.25">
      <c r="A122">
        <f>'CAR PROMAX FILIAL CRUZ'!O116</f>
        <v>5</v>
      </c>
      <c r="B122" s="33" t="str">
        <f t="shared" si="5"/>
        <v xml:space="preserve"> </v>
      </c>
      <c r="C122" s="33" t="str">
        <f t="shared" si="4"/>
        <v xml:space="preserve"> </v>
      </c>
      <c r="D122" s="34" t="str">
        <f>IF(A122&lt;0,'CAR PROMAX FILIAL CRUZ'!B116," ")</f>
        <v xml:space="preserve"> </v>
      </c>
      <c r="E122" s="35" t="str">
        <f>IF(A122&lt;0,'CAR PROMAX FILIAL CRUZ'!C116," ")</f>
        <v xml:space="preserve"> </v>
      </c>
      <c r="F122" s="34" t="str">
        <f>IF(A122&lt;0,'CAR PROMAX FILIAL CRUZ'!D116," ")</f>
        <v xml:space="preserve"> </v>
      </c>
      <c r="G122" s="34" t="str">
        <f>IF(A122&lt;0,'CAR PROMAX FILIAL CRUZ'!E116," ")</f>
        <v xml:space="preserve"> </v>
      </c>
      <c r="H122" s="34" t="str">
        <f>IF(A122&lt;0,'CAR PROMAX FILIAL CRUZ'!J116," ")</f>
        <v xml:space="preserve"> </v>
      </c>
      <c r="I122" s="34"/>
      <c r="J122" s="34"/>
      <c r="K122" s="34" t="str">
        <f>IF(A122&lt;0,'CAR PROMAX FILIAL CRUZ'!O116," ")</f>
        <v xml:space="preserve"> </v>
      </c>
      <c r="L122" s="36" t="str">
        <f>IF(A122&lt;0,'CAR PROMAX FILIAL CRUZ'!P116," ")</f>
        <v xml:space="preserve"> </v>
      </c>
      <c r="M122" s="36" t="str">
        <f>IF(A122&lt;0,'CAR PROMAX FILIAL CRUZ'!Q116," ")</f>
        <v xml:space="preserve"> </v>
      </c>
      <c r="N122" s="36" t="str">
        <f>IF(A122&lt;0,'CAR PROMAX FILIAL CRUZ'!R116," ")</f>
        <v xml:space="preserve"> </v>
      </c>
      <c r="O122" s="37" t="str">
        <f>IF(A122&lt;0,'CAR PROMAX FILIAL CRUZ'!S116," ")</f>
        <v xml:space="preserve"> </v>
      </c>
      <c r="P122" s="37" t="str">
        <f>IF(A122&lt;0,'CAR PROMAX FILIAL CRUZ'!T116," ")</f>
        <v xml:space="preserve"> </v>
      </c>
      <c r="Q122" s="37" t="str">
        <f>IF(A122&lt;0,'CAR PROMAX FILIAL CRUZ'!U116," ")</f>
        <v xml:space="preserve"> </v>
      </c>
      <c r="R122" s="34" t="str">
        <f>IF(A122&lt;0,'CAR PROMAX FILIAL CRUZ'!V116," ")</f>
        <v xml:space="preserve"> </v>
      </c>
    </row>
    <row r="123" spans="1:18" x14ac:dyDescent="0.25">
      <c r="A123">
        <f>'CAR PROMAX FILIAL CRUZ'!O117</f>
        <v>5</v>
      </c>
      <c r="B123" s="33" t="str">
        <f t="shared" si="5"/>
        <v xml:space="preserve"> </v>
      </c>
      <c r="C123" s="33" t="str">
        <f t="shared" si="4"/>
        <v xml:space="preserve"> </v>
      </c>
      <c r="D123" s="34" t="str">
        <f>IF(A123&lt;0,'CAR PROMAX FILIAL CRUZ'!B117," ")</f>
        <v xml:space="preserve"> </v>
      </c>
      <c r="E123" s="35" t="str">
        <f>IF(A123&lt;0,'CAR PROMAX FILIAL CRUZ'!C117," ")</f>
        <v xml:space="preserve"> </v>
      </c>
      <c r="F123" s="34" t="str">
        <f>IF(A123&lt;0,'CAR PROMAX FILIAL CRUZ'!D117," ")</f>
        <v xml:space="preserve"> </v>
      </c>
      <c r="G123" s="34" t="str">
        <f>IF(A123&lt;0,'CAR PROMAX FILIAL CRUZ'!E117," ")</f>
        <v xml:space="preserve"> </v>
      </c>
      <c r="H123" s="34" t="str">
        <f>IF(A123&lt;0,'CAR PROMAX FILIAL CRUZ'!J117," ")</f>
        <v xml:space="preserve"> </v>
      </c>
      <c r="I123" s="34"/>
      <c r="J123" s="34"/>
      <c r="K123" s="34" t="str">
        <f>IF(A123&lt;0,'CAR PROMAX FILIAL CRUZ'!O117," ")</f>
        <v xml:space="preserve"> </v>
      </c>
      <c r="L123" s="36" t="str">
        <f>IF(A123&lt;0,'CAR PROMAX FILIAL CRUZ'!P117," ")</f>
        <v xml:space="preserve"> </v>
      </c>
      <c r="M123" s="36" t="str">
        <f>IF(A123&lt;0,'CAR PROMAX FILIAL CRUZ'!Q117," ")</f>
        <v xml:space="preserve"> </v>
      </c>
      <c r="N123" s="36" t="str">
        <f>IF(A123&lt;0,'CAR PROMAX FILIAL CRUZ'!R117," ")</f>
        <v xml:space="preserve"> </v>
      </c>
      <c r="O123" s="37" t="str">
        <f>IF(A123&lt;0,'CAR PROMAX FILIAL CRUZ'!S117," ")</f>
        <v xml:space="preserve"> </v>
      </c>
      <c r="P123" s="37" t="str">
        <f>IF(A123&lt;0,'CAR PROMAX FILIAL CRUZ'!T117," ")</f>
        <v xml:space="preserve"> </v>
      </c>
      <c r="Q123" s="37" t="str">
        <f>IF(A123&lt;0,'CAR PROMAX FILIAL CRUZ'!U117," ")</f>
        <v xml:space="preserve"> </v>
      </c>
      <c r="R123" s="34" t="str">
        <f>IF(A123&lt;0,'CAR PROMAX FILIAL CRUZ'!V117," ")</f>
        <v xml:space="preserve"> </v>
      </c>
    </row>
    <row r="124" spans="1:18" x14ac:dyDescent="0.25">
      <c r="A124">
        <f>'CAR PROMAX FILIAL CRUZ'!O118</f>
        <v>5</v>
      </c>
      <c r="B124" s="33" t="str">
        <f t="shared" si="5"/>
        <v xml:space="preserve"> </v>
      </c>
      <c r="C124" s="33" t="str">
        <f t="shared" si="4"/>
        <v xml:space="preserve"> </v>
      </c>
      <c r="D124" s="34" t="str">
        <f>IF(A124&lt;0,'CAR PROMAX FILIAL CRUZ'!B118," ")</f>
        <v xml:space="preserve"> </v>
      </c>
      <c r="E124" s="35" t="str">
        <f>IF(A124&lt;0,'CAR PROMAX FILIAL CRUZ'!C118," ")</f>
        <v xml:space="preserve"> </v>
      </c>
      <c r="F124" s="34" t="str">
        <f>IF(A124&lt;0,'CAR PROMAX FILIAL CRUZ'!D118," ")</f>
        <v xml:space="preserve"> </v>
      </c>
      <c r="G124" s="34" t="str">
        <f>IF(A124&lt;0,'CAR PROMAX FILIAL CRUZ'!E118," ")</f>
        <v xml:space="preserve"> </v>
      </c>
      <c r="H124" s="34" t="str">
        <f>IF(A124&lt;0,'CAR PROMAX FILIAL CRUZ'!J118," ")</f>
        <v xml:space="preserve"> </v>
      </c>
      <c r="I124" s="34"/>
      <c r="J124" s="34"/>
      <c r="K124" s="34" t="str">
        <f>IF(A124&lt;0,'CAR PROMAX FILIAL CRUZ'!O118," ")</f>
        <v xml:space="preserve"> </v>
      </c>
      <c r="L124" s="36" t="str">
        <f>IF(A124&lt;0,'CAR PROMAX FILIAL CRUZ'!P118," ")</f>
        <v xml:space="preserve"> </v>
      </c>
      <c r="M124" s="36" t="str">
        <f>IF(A124&lt;0,'CAR PROMAX FILIAL CRUZ'!Q118," ")</f>
        <v xml:space="preserve"> </v>
      </c>
      <c r="N124" s="36" t="str">
        <f>IF(A124&lt;0,'CAR PROMAX FILIAL CRUZ'!R118," ")</f>
        <v xml:space="preserve"> </v>
      </c>
      <c r="O124" s="37" t="str">
        <f>IF(A124&lt;0,'CAR PROMAX FILIAL CRUZ'!S118," ")</f>
        <v xml:space="preserve"> </v>
      </c>
      <c r="P124" s="37" t="str">
        <f>IF(A124&lt;0,'CAR PROMAX FILIAL CRUZ'!T118," ")</f>
        <v xml:space="preserve"> </v>
      </c>
      <c r="Q124" s="37" t="str">
        <f>IF(A124&lt;0,'CAR PROMAX FILIAL CRUZ'!U118," ")</f>
        <v xml:space="preserve"> </v>
      </c>
      <c r="R124" s="34" t="str">
        <f>IF(A124&lt;0,'CAR PROMAX FILIAL CRUZ'!V118," ")</f>
        <v xml:space="preserve"> </v>
      </c>
    </row>
    <row r="125" spans="1:18" x14ac:dyDescent="0.25">
      <c r="A125">
        <f>'CAR PROMAX FILIAL CRUZ'!O119</f>
        <v>5</v>
      </c>
      <c r="B125" s="33" t="str">
        <f t="shared" si="5"/>
        <v xml:space="preserve"> </v>
      </c>
      <c r="C125" s="33" t="str">
        <f t="shared" si="4"/>
        <v xml:space="preserve"> </v>
      </c>
      <c r="D125" s="34" t="str">
        <f>IF(A125&lt;0,'CAR PROMAX FILIAL CRUZ'!B119," ")</f>
        <v xml:space="preserve"> </v>
      </c>
      <c r="E125" s="35" t="str">
        <f>IF(A125&lt;0,'CAR PROMAX FILIAL CRUZ'!C119," ")</f>
        <v xml:space="preserve"> </v>
      </c>
      <c r="F125" s="34" t="str">
        <f>IF(A125&lt;0,'CAR PROMAX FILIAL CRUZ'!D119," ")</f>
        <v xml:space="preserve"> </v>
      </c>
      <c r="G125" s="34" t="str">
        <f>IF(A125&lt;0,'CAR PROMAX FILIAL CRUZ'!E119," ")</f>
        <v xml:space="preserve"> </v>
      </c>
      <c r="H125" s="34" t="str">
        <f>IF(A125&lt;0,'CAR PROMAX FILIAL CRUZ'!J119," ")</f>
        <v xml:space="preserve"> </v>
      </c>
      <c r="I125" s="34"/>
      <c r="J125" s="34"/>
      <c r="K125" s="34" t="str">
        <f>IF(A125&lt;0,'CAR PROMAX FILIAL CRUZ'!O119," ")</f>
        <v xml:space="preserve"> </v>
      </c>
      <c r="L125" s="36" t="str">
        <f>IF(A125&lt;0,'CAR PROMAX FILIAL CRUZ'!P119," ")</f>
        <v xml:space="preserve"> </v>
      </c>
      <c r="M125" s="36" t="str">
        <f>IF(A125&lt;0,'CAR PROMAX FILIAL CRUZ'!Q119," ")</f>
        <v xml:space="preserve"> </v>
      </c>
      <c r="N125" s="36" t="str">
        <f>IF(A125&lt;0,'CAR PROMAX FILIAL CRUZ'!R119," ")</f>
        <v xml:space="preserve"> </v>
      </c>
      <c r="O125" s="37" t="str">
        <f>IF(A125&lt;0,'CAR PROMAX FILIAL CRUZ'!S119," ")</f>
        <v xml:space="preserve"> </v>
      </c>
      <c r="P125" s="37" t="str">
        <f>IF(A125&lt;0,'CAR PROMAX FILIAL CRUZ'!T119," ")</f>
        <v xml:space="preserve"> </v>
      </c>
      <c r="Q125" s="37" t="str">
        <f>IF(A125&lt;0,'CAR PROMAX FILIAL CRUZ'!U119," ")</f>
        <v xml:space="preserve"> </v>
      </c>
      <c r="R125" s="34" t="str">
        <f>IF(A125&lt;0,'CAR PROMAX FILIAL CRUZ'!V119," ")</f>
        <v xml:space="preserve"> </v>
      </c>
    </row>
    <row r="126" spans="1:18" x14ac:dyDescent="0.25">
      <c r="A126">
        <f>'CAR PROMAX FILIAL CRUZ'!O120</f>
        <v>5</v>
      </c>
      <c r="B126" s="33" t="str">
        <f t="shared" si="5"/>
        <v xml:space="preserve"> </v>
      </c>
      <c r="C126" s="33" t="str">
        <f t="shared" si="4"/>
        <v xml:space="preserve"> </v>
      </c>
      <c r="D126" s="34" t="str">
        <f>IF(A126&lt;0,'CAR PROMAX FILIAL CRUZ'!B120," ")</f>
        <v xml:space="preserve"> </v>
      </c>
      <c r="E126" s="35" t="str">
        <f>IF(A126&lt;0,'CAR PROMAX FILIAL CRUZ'!C120," ")</f>
        <v xml:space="preserve"> </v>
      </c>
      <c r="F126" s="34" t="str">
        <f>IF(A126&lt;0,'CAR PROMAX FILIAL CRUZ'!D120," ")</f>
        <v xml:space="preserve"> </v>
      </c>
      <c r="G126" s="34" t="str">
        <f>IF(A126&lt;0,'CAR PROMAX FILIAL CRUZ'!E120," ")</f>
        <v xml:space="preserve"> </v>
      </c>
      <c r="H126" s="34" t="str">
        <f>IF(A126&lt;0,'CAR PROMAX FILIAL CRUZ'!J120," ")</f>
        <v xml:space="preserve"> </v>
      </c>
      <c r="I126" s="34"/>
      <c r="J126" s="34"/>
      <c r="K126" s="34" t="str">
        <f>IF(A126&lt;0,'CAR PROMAX FILIAL CRUZ'!O120," ")</f>
        <v xml:space="preserve"> </v>
      </c>
      <c r="L126" s="36" t="str">
        <f>IF(A126&lt;0,'CAR PROMAX FILIAL CRUZ'!P120," ")</f>
        <v xml:space="preserve"> </v>
      </c>
      <c r="M126" s="36" t="str">
        <f>IF(A126&lt;0,'CAR PROMAX FILIAL CRUZ'!Q120," ")</f>
        <v xml:space="preserve"> </v>
      </c>
      <c r="N126" s="36" t="str">
        <f>IF(A126&lt;0,'CAR PROMAX FILIAL CRUZ'!R120," ")</f>
        <v xml:space="preserve"> </v>
      </c>
      <c r="O126" s="37" t="str">
        <f>IF(A126&lt;0,'CAR PROMAX FILIAL CRUZ'!S120," ")</f>
        <v xml:space="preserve"> </v>
      </c>
      <c r="P126" s="37" t="str">
        <f>IF(A126&lt;0,'CAR PROMAX FILIAL CRUZ'!T120," ")</f>
        <v xml:space="preserve"> </v>
      </c>
      <c r="Q126" s="37" t="str">
        <f>IF(A126&lt;0,'CAR PROMAX FILIAL CRUZ'!U120," ")</f>
        <v xml:space="preserve"> </v>
      </c>
      <c r="R126" s="34" t="str">
        <f>IF(A126&lt;0,'CAR PROMAX FILIAL CRUZ'!V120," ")</f>
        <v xml:space="preserve"> </v>
      </c>
    </row>
    <row r="127" spans="1:18" x14ac:dyDescent="0.25">
      <c r="A127">
        <f>'CAR PROMAX FILIAL CRUZ'!O121</f>
        <v>5</v>
      </c>
      <c r="B127" s="33" t="str">
        <f t="shared" si="5"/>
        <v xml:space="preserve"> </v>
      </c>
      <c r="C127" s="33" t="str">
        <f t="shared" si="4"/>
        <v xml:space="preserve"> </v>
      </c>
      <c r="D127" s="34" t="str">
        <f>IF(A127&lt;0,'CAR PROMAX FILIAL CRUZ'!B121," ")</f>
        <v xml:space="preserve"> </v>
      </c>
      <c r="E127" s="35" t="str">
        <f>IF(A127&lt;0,'CAR PROMAX FILIAL CRUZ'!C121," ")</f>
        <v xml:space="preserve"> </v>
      </c>
      <c r="F127" s="34" t="str">
        <f>IF(A127&lt;0,'CAR PROMAX FILIAL CRUZ'!D121," ")</f>
        <v xml:space="preserve"> </v>
      </c>
      <c r="G127" s="34" t="str">
        <f>IF(A127&lt;0,'CAR PROMAX FILIAL CRUZ'!E121," ")</f>
        <v xml:space="preserve"> </v>
      </c>
      <c r="H127" s="34" t="str">
        <f>IF(A127&lt;0,'CAR PROMAX FILIAL CRUZ'!J121," ")</f>
        <v xml:space="preserve"> </v>
      </c>
      <c r="I127" s="34"/>
      <c r="J127" s="34"/>
      <c r="K127" s="34" t="str">
        <f>IF(A127&lt;0,'CAR PROMAX FILIAL CRUZ'!O121," ")</f>
        <v xml:space="preserve"> </v>
      </c>
      <c r="L127" s="36" t="str">
        <f>IF(A127&lt;0,'CAR PROMAX FILIAL CRUZ'!P121," ")</f>
        <v xml:space="preserve"> </v>
      </c>
      <c r="M127" s="36" t="str">
        <f>IF(A127&lt;0,'CAR PROMAX FILIAL CRUZ'!Q121," ")</f>
        <v xml:space="preserve"> </v>
      </c>
      <c r="N127" s="36" t="str">
        <f>IF(A127&lt;0,'CAR PROMAX FILIAL CRUZ'!R121," ")</f>
        <v xml:space="preserve"> </v>
      </c>
      <c r="O127" s="37" t="str">
        <f>IF(A127&lt;0,'CAR PROMAX FILIAL CRUZ'!S121," ")</f>
        <v xml:space="preserve"> </v>
      </c>
      <c r="P127" s="37" t="str">
        <f>IF(A127&lt;0,'CAR PROMAX FILIAL CRUZ'!T121," ")</f>
        <v xml:space="preserve"> </v>
      </c>
      <c r="Q127" s="37" t="str">
        <f>IF(A127&lt;0,'CAR PROMAX FILIAL CRUZ'!U121," ")</f>
        <v xml:space="preserve"> </v>
      </c>
      <c r="R127" s="34" t="str">
        <f>IF(A127&lt;0,'CAR PROMAX FILIAL CRUZ'!V121," ")</f>
        <v xml:space="preserve"> </v>
      </c>
    </row>
    <row r="128" spans="1:18" x14ac:dyDescent="0.25">
      <c r="A128">
        <f>'CAR PROMAX FILIAL CRUZ'!O122</f>
        <v>5</v>
      </c>
      <c r="B128" s="33" t="str">
        <f t="shared" si="5"/>
        <v xml:space="preserve"> </v>
      </c>
      <c r="C128" s="33" t="str">
        <f t="shared" si="4"/>
        <v xml:space="preserve"> </v>
      </c>
      <c r="D128" s="34" t="str">
        <f>IF(A128&lt;0,'CAR PROMAX FILIAL CRUZ'!B122," ")</f>
        <v xml:space="preserve"> </v>
      </c>
      <c r="E128" s="35" t="str">
        <f>IF(A128&lt;0,'CAR PROMAX FILIAL CRUZ'!C122," ")</f>
        <v xml:space="preserve"> </v>
      </c>
      <c r="F128" s="34" t="str">
        <f>IF(A128&lt;0,'CAR PROMAX FILIAL CRUZ'!D122," ")</f>
        <v xml:space="preserve"> </v>
      </c>
      <c r="G128" s="34" t="str">
        <f>IF(A128&lt;0,'CAR PROMAX FILIAL CRUZ'!E122," ")</f>
        <v xml:space="preserve"> </v>
      </c>
      <c r="H128" s="34" t="str">
        <f>IF(A128&lt;0,'CAR PROMAX FILIAL CRUZ'!J122," ")</f>
        <v xml:space="preserve"> </v>
      </c>
      <c r="I128" s="34"/>
      <c r="J128" s="34"/>
      <c r="K128" s="34" t="str">
        <f>IF(A128&lt;0,'CAR PROMAX FILIAL CRUZ'!O122," ")</f>
        <v xml:space="preserve"> </v>
      </c>
      <c r="L128" s="36" t="str">
        <f>IF(A128&lt;0,'CAR PROMAX FILIAL CRUZ'!P122," ")</f>
        <v xml:space="preserve"> </v>
      </c>
      <c r="M128" s="36" t="str">
        <f>IF(A128&lt;0,'CAR PROMAX FILIAL CRUZ'!Q122," ")</f>
        <v xml:space="preserve"> </v>
      </c>
      <c r="N128" s="36" t="str">
        <f>IF(A128&lt;0,'CAR PROMAX FILIAL CRUZ'!R122," ")</f>
        <v xml:space="preserve"> </v>
      </c>
      <c r="O128" s="37" t="str">
        <f>IF(A128&lt;0,'CAR PROMAX FILIAL CRUZ'!S122," ")</f>
        <v xml:space="preserve"> </v>
      </c>
      <c r="P128" s="37" t="str">
        <f>IF(A128&lt;0,'CAR PROMAX FILIAL CRUZ'!T122," ")</f>
        <v xml:space="preserve"> </v>
      </c>
      <c r="Q128" s="37" t="str">
        <f>IF(A128&lt;0,'CAR PROMAX FILIAL CRUZ'!U122," ")</f>
        <v xml:space="preserve"> </v>
      </c>
      <c r="R128" s="34" t="str">
        <f>IF(A128&lt;0,'CAR PROMAX FILIAL CRUZ'!V122," ")</f>
        <v xml:space="preserve"> </v>
      </c>
    </row>
    <row r="129" spans="1:18" x14ac:dyDescent="0.25">
      <c r="A129">
        <f>'CAR PROMAX FILIAL CRUZ'!O123</f>
        <v>5</v>
      </c>
      <c r="B129" s="33" t="str">
        <f t="shared" si="5"/>
        <v xml:space="preserve"> </v>
      </c>
      <c r="C129" s="33" t="str">
        <f t="shared" si="4"/>
        <v xml:space="preserve"> </v>
      </c>
      <c r="D129" s="34" t="str">
        <f>IF(A129&lt;0,'CAR PROMAX FILIAL CRUZ'!B123," ")</f>
        <v xml:space="preserve"> </v>
      </c>
      <c r="E129" s="35" t="str">
        <f>IF(A129&lt;0,'CAR PROMAX FILIAL CRUZ'!C123," ")</f>
        <v xml:space="preserve"> </v>
      </c>
      <c r="F129" s="34" t="str">
        <f>IF(A129&lt;0,'CAR PROMAX FILIAL CRUZ'!D123," ")</f>
        <v xml:space="preserve"> </v>
      </c>
      <c r="G129" s="34" t="str">
        <f>IF(A129&lt;0,'CAR PROMAX FILIAL CRUZ'!E123," ")</f>
        <v xml:space="preserve"> </v>
      </c>
      <c r="H129" s="34" t="str">
        <f>IF(A129&lt;0,'CAR PROMAX FILIAL CRUZ'!J123," ")</f>
        <v xml:space="preserve"> </v>
      </c>
      <c r="I129" s="34"/>
      <c r="J129" s="34"/>
      <c r="K129" s="34" t="str">
        <f>IF(A129&lt;0,'CAR PROMAX FILIAL CRUZ'!O123," ")</f>
        <v xml:space="preserve"> </v>
      </c>
      <c r="L129" s="36" t="str">
        <f>IF(A129&lt;0,'CAR PROMAX FILIAL CRUZ'!P123," ")</f>
        <v xml:space="preserve"> </v>
      </c>
      <c r="M129" s="36" t="str">
        <f>IF(A129&lt;0,'CAR PROMAX FILIAL CRUZ'!Q123," ")</f>
        <v xml:space="preserve"> </v>
      </c>
      <c r="N129" s="36" t="str">
        <f>IF(A129&lt;0,'CAR PROMAX FILIAL CRUZ'!R123," ")</f>
        <v xml:space="preserve"> </v>
      </c>
      <c r="O129" s="37" t="str">
        <f>IF(A129&lt;0,'CAR PROMAX FILIAL CRUZ'!S123," ")</f>
        <v xml:space="preserve"> </v>
      </c>
      <c r="P129" s="37" t="str">
        <f>IF(A129&lt;0,'CAR PROMAX FILIAL CRUZ'!T123," ")</f>
        <v xml:space="preserve"> </v>
      </c>
      <c r="Q129" s="37" t="str">
        <f>IF(A129&lt;0,'CAR PROMAX FILIAL CRUZ'!U123," ")</f>
        <v xml:space="preserve"> </v>
      </c>
      <c r="R129" s="34" t="str">
        <f>IF(A129&lt;0,'CAR PROMAX FILIAL CRUZ'!V123," ")</f>
        <v xml:space="preserve"> </v>
      </c>
    </row>
    <row r="130" spans="1:18" x14ac:dyDescent="0.25">
      <c r="A130">
        <f>'CAR PROMAX FILIAL CRUZ'!O124</f>
        <v>5</v>
      </c>
      <c r="B130" s="33" t="str">
        <f t="shared" si="5"/>
        <v xml:space="preserve"> </v>
      </c>
      <c r="C130" s="33" t="str">
        <f t="shared" si="4"/>
        <v xml:space="preserve"> </v>
      </c>
      <c r="D130" s="34" t="str">
        <f>IF(A130&lt;0,'CAR PROMAX FILIAL CRUZ'!B124," ")</f>
        <v xml:space="preserve"> </v>
      </c>
      <c r="E130" s="35" t="str">
        <f>IF(A130&lt;0,'CAR PROMAX FILIAL CRUZ'!C124," ")</f>
        <v xml:space="preserve"> </v>
      </c>
      <c r="F130" s="34" t="str">
        <f>IF(A130&lt;0,'CAR PROMAX FILIAL CRUZ'!D124," ")</f>
        <v xml:space="preserve"> </v>
      </c>
      <c r="G130" s="34" t="str">
        <f>IF(A130&lt;0,'CAR PROMAX FILIAL CRUZ'!E124," ")</f>
        <v xml:space="preserve"> </v>
      </c>
      <c r="H130" s="34" t="str">
        <f>IF(A130&lt;0,'CAR PROMAX FILIAL CRUZ'!J124," ")</f>
        <v xml:space="preserve"> </v>
      </c>
      <c r="I130" s="34"/>
      <c r="J130" s="34"/>
      <c r="K130" s="34" t="str">
        <f>IF(A130&lt;0,'CAR PROMAX FILIAL CRUZ'!O124," ")</f>
        <v xml:space="preserve"> </v>
      </c>
      <c r="L130" s="36" t="str">
        <f>IF(A130&lt;0,'CAR PROMAX FILIAL CRUZ'!P124," ")</f>
        <v xml:space="preserve"> </v>
      </c>
      <c r="M130" s="36" t="str">
        <f>IF(A130&lt;0,'CAR PROMAX FILIAL CRUZ'!Q124," ")</f>
        <v xml:space="preserve"> </v>
      </c>
      <c r="N130" s="36" t="str">
        <f>IF(A130&lt;0,'CAR PROMAX FILIAL CRUZ'!R124," ")</f>
        <v xml:space="preserve"> </v>
      </c>
      <c r="O130" s="37" t="str">
        <f>IF(A130&lt;0,'CAR PROMAX FILIAL CRUZ'!S124," ")</f>
        <v xml:space="preserve"> </v>
      </c>
      <c r="P130" s="37" t="str">
        <f>IF(A130&lt;0,'CAR PROMAX FILIAL CRUZ'!T124," ")</f>
        <v xml:space="preserve"> </v>
      </c>
      <c r="Q130" s="37" t="str">
        <f>IF(A130&lt;0,'CAR PROMAX FILIAL CRUZ'!U124," ")</f>
        <v xml:space="preserve"> </v>
      </c>
      <c r="R130" s="34" t="str">
        <f>IF(A130&lt;0,'CAR PROMAX FILIAL CRUZ'!V124," ")</f>
        <v xml:space="preserve"> </v>
      </c>
    </row>
    <row r="131" spans="1:18" x14ac:dyDescent="0.25">
      <c r="A131">
        <f>'CAR PROMAX FILIAL CRUZ'!O125</f>
        <v>5</v>
      </c>
      <c r="B131" s="33" t="str">
        <f t="shared" si="5"/>
        <v xml:space="preserve"> </v>
      </c>
      <c r="C131" s="33" t="str">
        <f t="shared" si="4"/>
        <v xml:space="preserve"> </v>
      </c>
      <c r="D131" s="34" t="str">
        <f>IF(A131&lt;0,'CAR PROMAX FILIAL CRUZ'!B125," ")</f>
        <v xml:space="preserve"> </v>
      </c>
      <c r="E131" s="35" t="str">
        <f>IF(A131&lt;0,'CAR PROMAX FILIAL CRUZ'!C125," ")</f>
        <v xml:space="preserve"> </v>
      </c>
      <c r="F131" s="34" t="str">
        <f>IF(A131&lt;0,'CAR PROMAX FILIAL CRUZ'!D125," ")</f>
        <v xml:space="preserve"> </v>
      </c>
      <c r="G131" s="34" t="str">
        <f>IF(A131&lt;0,'CAR PROMAX FILIAL CRUZ'!E125," ")</f>
        <v xml:space="preserve"> </v>
      </c>
      <c r="H131" s="34" t="str">
        <f>IF(A131&lt;0,'CAR PROMAX FILIAL CRUZ'!J125," ")</f>
        <v xml:space="preserve"> </v>
      </c>
      <c r="I131" s="34"/>
      <c r="J131" s="34"/>
      <c r="K131" s="34" t="str">
        <f>IF(A131&lt;0,'CAR PROMAX FILIAL CRUZ'!O125," ")</f>
        <v xml:space="preserve"> </v>
      </c>
      <c r="L131" s="36" t="str">
        <f>IF(A131&lt;0,'CAR PROMAX FILIAL CRUZ'!P125," ")</f>
        <v xml:space="preserve"> </v>
      </c>
      <c r="M131" s="36" t="str">
        <f>IF(A131&lt;0,'CAR PROMAX FILIAL CRUZ'!Q125," ")</f>
        <v xml:space="preserve"> </v>
      </c>
      <c r="N131" s="36" t="str">
        <f>IF(A131&lt;0,'CAR PROMAX FILIAL CRUZ'!R125," ")</f>
        <v xml:space="preserve"> </v>
      </c>
      <c r="O131" s="37" t="str">
        <f>IF(A131&lt;0,'CAR PROMAX FILIAL CRUZ'!S125," ")</f>
        <v xml:space="preserve"> </v>
      </c>
      <c r="P131" s="37" t="str">
        <f>IF(A131&lt;0,'CAR PROMAX FILIAL CRUZ'!T125," ")</f>
        <v xml:space="preserve"> </v>
      </c>
      <c r="Q131" s="37" t="str">
        <f>IF(A131&lt;0,'CAR PROMAX FILIAL CRUZ'!U125," ")</f>
        <v xml:space="preserve"> </v>
      </c>
      <c r="R131" s="34" t="str">
        <f>IF(A131&lt;0,'CAR PROMAX FILIAL CRUZ'!V125," ")</f>
        <v xml:space="preserve"> </v>
      </c>
    </row>
    <row r="132" spans="1:18" x14ac:dyDescent="0.25">
      <c r="A132">
        <f>'CAR PROMAX FILIAL CRUZ'!O126</f>
        <v>5</v>
      </c>
      <c r="B132" s="33" t="str">
        <f t="shared" si="5"/>
        <v xml:space="preserve"> </v>
      </c>
      <c r="C132" s="33" t="str">
        <f t="shared" si="4"/>
        <v xml:space="preserve"> </v>
      </c>
      <c r="D132" s="34" t="str">
        <f>IF(A132&lt;0,'CAR PROMAX FILIAL CRUZ'!B126," ")</f>
        <v xml:space="preserve"> </v>
      </c>
      <c r="E132" s="35" t="str">
        <f>IF(A132&lt;0,'CAR PROMAX FILIAL CRUZ'!C126," ")</f>
        <v xml:space="preserve"> </v>
      </c>
      <c r="F132" s="34" t="str">
        <f>IF(A132&lt;0,'CAR PROMAX FILIAL CRUZ'!D126," ")</f>
        <v xml:space="preserve"> </v>
      </c>
      <c r="G132" s="34" t="str">
        <f>IF(A132&lt;0,'CAR PROMAX FILIAL CRUZ'!E126," ")</f>
        <v xml:space="preserve"> </v>
      </c>
      <c r="H132" s="34" t="str">
        <f>IF(A132&lt;0,'CAR PROMAX FILIAL CRUZ'!J126," ")</f>
        <v xml:space="preserve"> </v>
      </c>
      <c r="I132" s="34"/>
      <c r="J132" s="34"/>
      <c r="K132" s="34" t="str">
        <f>IF(A132&lt;0,'CAR PROMAX FILIAL CRUZ'!O126," ")</f>
        <v xml:space="preserve"> </v>
      </c>
      <c r="L132" s="36" t="str">
        <f>IF(A132&lt;0,'CAR PROMAX FILIAL CRUZ'!P126," ")</f>
        <v xml:space="preserve"> </v>
      </c>
      <c r="M132" s="36" t="str">
        <f>IF(A132&lt;0,'CAR PROMAX FILIAL CRUZ'!Q126," ")</f>
        <v xml:space="preserve"> </v>
      </c>
      <c r="N132" s="36" t="str">
        <f>IF(A132&lt;0,'CAR PROMAX FILIAL CRUZ'!R126," ")</f>
        <v xml:space="preserve"> </v>
      </c>
      <c r="O132" s="37" t="str">
        <f>IF(A132&lt;0,'CAR PROMAX FILIAL CRUZ'!S126," ")</f>
        <v xml:space="preserve"> </v>
      </c>
      <c r="P132" s="37" t="str">
        <f>IF(A132&lt;0,'CAR PROMAX FILIAL CRUZ'!T126," ")</f>
        <v xml:space="preserve"> </v>
      </c>
      <c r="Q132" s="37" t="str">
        <f>IF(A132&lt;0,'CAR PROMAX FILIAL CRUZ'!U126," ")</f>
        <v xml:space="preserve"> </v>
      </c>
      <c r="R132" s="34" t="str">
        <f>IF(A132&lt;0,'CAR PROMAX FILIAL CRUZ'!V126," ")</f>
        <v xml:space="preserve"> </v>
      </c>
    </row>
    <row r="133" spans="1:18" x14ac:dyDescent="0.25">
      <c r="A133">
        <f>'CAR PROMAX FILIAL CRUZ'!O127</f>
        <v>5</v>
      </c>
      <c r="B133" s="33" t="str">
        <f t="shared" si="5"/>
        <v xml:space="preserve"> </v>
      </c>
      <c r="C133" s="33" t="str">
        <f t="shared" si="4"/>
        <v xml:space="preserve"> </v>
      </c>
      <c r="D133" s="34" t="str">
        <f>IF(A133&lt;0,'CAR PROMAX FILIAL CRUZ'!B127," ")</f>
        <v xml:space="preserve"> </v>
      </c>
      <c r="E133" s="35" t="str">
        <f>IF(A133&lt;0,'CAR PROMAX FILIAL CRUZ'!C127," ")</f>
        <v xml:space="preserve"> </v>
      </c>
      <c r="F133" s="34" t="str">
        <f>IF(A133&lt;0,'CAR PROMAX FILIAL CRUZ'!D127," ")</f>
        <v xml:space="preserve"> </v>
      </c>
      <c r="G133" s="34" t="str">
        <f>IF(A133&lt;0,'CAR PROMAX FILIAL CRUZ'!E127," ")</f>
        <v xml:space="preserve"> </v>
      </c>
      <c r="H133" s="34" t="str">
        <f>IF(A133&lt;0,'CAR PROMAX FILIAL CRUZ'!J127," ")</f>
        <v xml:space="preserve"> </v>
      </c>
      <c r="I133" s="34"/>
      <c r="J133" s="34"/>
      <c r="K133" s="34" t="str">
        <f>IF(A133&lt;0,'CAR PROMAX FILIAL CRUZ'!O127," ")</f>
        <v xml:space="preserve"> </v>
      </c>
      <c r="L133" s="36" t="str">
        <f>IF(A133&lt;0,'CAR PROMAX FILIAL CRUZ'!P127," ")</f>
        <v xml:space="preserve"> </v>
      </c>
      <c r="M133" s="36" t="str">
        <f>IF(A133&lt;0,'CAR PROMAX FILIAL CRUZ'!Q127," ")</f>
        <v xml:space="preserve"> </v>
      </c>
      <c r="N133" s="36" t="str">
        <f>IF(A133&lt;0,'CAR PROMAX FILIAL CRUZ'!R127," ")</f>
        <v xml:space="preserve"> </v>
      </c>
      <c r="O133" s="37" t="str">
        <f>IF(A133&lt;0,'CAR PROMAX FILIAL CRUZ'!S127," ")</f>
        <v xml:space="preserve"> </v>
      </c>
      <c r="P133" s="37" t="str">
        <f>IF(A133&lt;0,'CAR PROMAX FILIAL CRUZ'!T127," ")</f>
        <v xml:space="preserve"> </v>
      </c>
      <c r="Q133" s="37" t="str">
        <f>IF(A133&lt;0,'CAR PROMAX FILIAL CRUZ'!U127," ")</f>
        <v xml:space="preserve"> </v>
      </c>
      <c r="R133" s="34" t="str">
        <f>IF(A133&lt;0,'CAR PROMAX FILIAL CRUZ'!V127," ")</f>
        <v xml:space="preserve"> </v>
      </c>
    </row>
    <row r="134" spans="1:18" x14ac:dyDescent="0.25">
      <c r="A134">
        <f>'CAR PROMAX FILIAL CRUZ'!O128</f>
        <v>5</v>
      </c>
      <c r="B134" s="33" t="str">
        <f t="shared" si="5"/>
        <v xml:space="preserve"> </v>
      </c>
      <c r="C134" s="33" t="str">
        <f t="shared" si="4"/>
        <v xml:space="preserve"> </v>
      </c>
      <c r="D134" s="34" t="str">
        <f>IF(A134&lt;0,'CAR PROMAX FILIAL CRUZ'!B128," ")</f>
        <v xml:space="preserve"> </v>
      </c>
      <c r="E134" s="35" t="str">
        <f>IF(A134&lt;0,'CAR PROMAX FILIAL CRUZ'!C128," ")</f>
        <v xml:space="preserve"> </v>
      </c>
      <c r="F134" s="34" t="str">
        <f>IF(A134&lt;0,'CAR PROMAX FILIAL CRUZ'!D128," ")</f>
        <v xml:space="preserve"> </v>
      </c>
      <c r="G134" s="34" t="str">
        <f>IF(A134&lt;0,'CAR PROMAX FILIAL CRUZ'!E128," ")</f>
        <v xml:space="preserve"> </v>
      </c>
      <c r="H134" s="34" t="str">
        <f>IF(A134&lt;0,'CAR PROMAX FILIAL CRUZ'!J128," ")</f>
        <v xml:space="preserve"> </v>
      </c>
      <c r="I134" s="34"/>
      <c r="J134" s="34"/>
      <c r="K134" s="34" t="str">
        <f>IF(A134&lt;0,'CAR PROMAX FILIAL CRUZ'!O128," ")</f>
        <v xml:space="preserve"> </v>
      </c>
      <c r="L134" s="36" t="str">
        <f>IF(A134&lt;0,'CAR PROMAX FILIAL CRUZ'!P128," ")</f>
        <v xml:space="preserve"> </v>
      </c>
      <c r="M134" s="36" t="str">
        <f>IF(A134&lt;0,'CAR PROMAX FILIAL CRUZ'!Q128," ")</f>
        <v xml:space="preserve"> </v>
      </c>
      <c r="N134" s="36" t="str">
        <f>IF(A134&lt;0,'CAR PROMAX FILIAL CRUZ'!R128," ")</f>
        <v xml:space="preserve"> </v>
      </c>
      <c r="O134" s="37" t="str">
        <f>IF(A134&lt;0,'CAR PROMAX FILIAL CRUZ'!S128," ")</f>
        <v xml:space="preserve"> </v>
      </c>
      <c r="P134" s="37" t="str">
        <f>IF(A134&lt;0,'CAR PROMAX FILIAL CRUZ'!T128," ")</f>
        <v xml:space="preserve"> </v>
      </c>
      <c r="Q134" s="37" t="str">
        <f>IF(A134&lt;0,'CAR PROMAX FILIAL CRUZ'!U128," ")</f>
        <v xml:space="preserve"> </v>
      </c>
      <c r="R134" s="34" t="str">
        <f>IF(A134&lt;0,'CAR PROMAX FILIAL CRUZ'!V128," ")</f>
        <v xml:space="preserve"> </v>
      </c>
    </row>
    <row r="135" spans="1:18" x14ac:dyDescent="0.25">
      <c r="A135">
        <f>'CAR PROMAX FILIAL CRUZ'!O129</f>
        <v>5</v>
      </c>
      <c r="B135" s="33" t="str">
        <f t="shared" si="5"/>
        <v xml:space="preserve"> </v>
      </c>
      <c r="C135" s="33" t="str">
        <f t="shared" si="4"/>
        <v xml:space="preserve"> </v>
      </c>
      <c r="D135" s="34" t="str">
        <f>IF(A135&lt;0,'CAR PROMAX FILIAL CRUZ'!B129," ")</f>
        <v xml:space="preserve"> </v>
      </c>
      <c r="E135" s="35" t="str">
        <f>IF(A135&lt;0,'CAR PROMAX FILIAL CRUZ'!C129," ")</f>
        <v xml:space="preserve"> </v>
      </c>
      <c r="F135" s="34" t="str">
        <f>IF(A135&lt;0,'CAR PROMAX FILIAL CRUZ'!D129," ")</f>
        <v xml:space="preserve"> </v>
      </c>
      <c r="G135" s="34" t="str">
        <f>IF(A135&lt;0,'CAR PROMAX FILIAL CRUZ'!E129," ")</f>
        <v xml:space="preserve"> </v>
      </c>
      <c r="H135" s="34" t="str">
        <f>IF(A135&lt;0,'CAR PROMAX FILIAL CRUZ'!J129," ")</f>
        <v xml:space="preserve"> </v>
      </c>
      <c r="I135" s="34"/>
      <c r="J135" s="34"/>
      <c r="K135" s="34" t="str">
        <f>IF(A135&lt;0,'CAR PROMAX FILIAL CRUZ'!O129," ")</f>
        <v xml:space="preserve"> </v>
      </c>
      <c r="L135" s="36" t="str">
        <f>IF(A135&lt;0,'CAR PROMAX FILIAL CRUZ'!P129," ")</f>
        <v xml:space="preserve"> </v>
      </c>
      <c r="M135" s="36" t="str">
        <f>IF(A135&lt;0,'CAR PROMAX FILIAL CRUZ'!Q129," ")</f>
        <v xml:space="preserve"> </v>
      </c>
      <c r="N135" s="36" t="str">
        <f>IF(A135&lt;0,'CAR PROMAX FILIAL CRUZ'!R129," ")</f>
        <v xml:space="preserve"> </v>
      </c>
      <c r="O135" s="37" t="str">
        <f>IF(A135&lt;0,'CAR PROMAX FILIAL CRUZ'!S129," ")</f>
        <v xml:space="preserve"> </v>
      </c>
      <c r="P135" s="37" t="str">
        <f>IF(A135&lt;0,'CAR PROMAX FILIAL CRUZ'!T129," ")</f>
        <v xml:space="preserve"> </v>
      </c>
      <c r="Q135" s="37" t="str">
        <f>IF(A135&lt;0,'CAR PROMAX FILIAL CRUZ'!U129," ")</f>
        <v xml:space="preserve"> </v>
      </c>
      <c r="R135" s="34" t="str">
        <f>IF(A135&lt;0,'CAR PROMAX FILIAL CRUZ'!V129," ")</f>
        <v xml:space="preserve"> </v>
      </c>
    </row>
    <row r="136" spans="1:18" x14ac:dyDescent="0.25">
      <c r="A136">
        <f>'CAR PROMAX FILIAL CRUZ'!O130</f>
        <v>5</v>
      </c>
      <c r="B136" s="33" t="str">
        <f t="shared" si="5"/>
        <v xml:space="preserve"> </v>
      </c>
      <c r="C136" s="33" t="str">
        <f t="shared" ref="C136:C199" si="6">IF(K136&lt;0,IF(K136&gt;-16,"RN",IF(K136&gt;-46,"GV","GC"))," ")</f>
        <v xml:space="preserve"> </v>
      </c>
      <c r="D136" s="34" t="str">
        <f>IF(A136&lt;0,'CAR PROMAX FILIAL CRUZ'!B130," ")</f>
        <v xml:space="preserve"> </v>
      </c>
      <c r="E136" s="35" t="str">
        <f>IF(A136&lt;0,'CAR PROMAX FILIAL CRUZ'!C130," ")</f>
        <v xml:space="preserve"> </v>
      </c>
      <c r="F136" s="34" t="str">
        <f>IF(A136&lt;0,'CAR PROMAX FILIAL CRUZ'!D130," ")</f>
        <v xml:space="preserve"> </v>
      </c>
      <c r="G136" s="34" t="str">
        <f>IF(A136&lt;0,'CAR PROMAX FILIAL CRUZ'!E130," ")</f>
        <v xml:space="preserve"> </v>
      </c>
      <c r="H136" s="34" t="str">
        <f>IF(A136&lt;0,'CAR PROMAX FILIAL CRUZ'!J130," ")</f>
        <v xml:space="preserve"> </v>
      </c>
      <c r="I136" s="34"/>
      <c r="J136" s="34"/>
      <c r="K136" s="34" t="str">
        <f>IF(A136&lt;0,'CAR PROMAX FILIAL CRUZ'!O130," ")</f>
        <v xml:space="preserve"> </v>
      </c>
      <c r="L136" s="36" t="str">
        <f>IF(A136&lt;0,'CAR PROMAX FILIAL CRUZ'!P130," ")</f>
        <v xml:space="preserve"> </v>
      </c>
      <c r="M136" s="36" t="str">
        <f>IF(A136&lt;0,'CAR PROMAX FILIAL CRUZ'!Q130," ")</f>
        <v xml:space="preserve"> </v>
      </c>
      <c r="N136" s="36" t="str">
        <f>IF(A136&lt;0,'CAR PROMAX FILIAL CRUZ'!R130," ")</f>
        <v xml:space="preserve"> </v>
      </c>
      <c r="O136" s="37" t="str">
        <f>IF(A136&lt;0,'CAR PROMAX FILIAL CRUZ'!S130," ")</f>
        <v xml:space="preserve"> </v>
      </c>
      <c r="P136" s="37" t="str">
        <f>IF(A136&lt;0,'CAR PROMAX FILIAL CRUZ'!T130," ")</f>
        <v xml:space="preserve"> </v>
      </c>
      <c r="Q136" s="37" t="str">
        <f>IF(A136&lt;0,'CAR PROMAX FILIAL CRUZ'!U130," ")</f>
        <v xml:space="preserve"> </v>
      </c>
      <c r="R136" s="34" t="str">
        <f>IF(A136&lt;0,'CAR PROMAX FILIAL CRUZ'!V130," ")</f>
        <v xml:space="preserve"> </v>
      </c>
    </row>
    <row r="137" spans="1:18" x14ac:dyDescent="0.25">
      <c r="A137">
        <f>'CAR PROMAX FILIAL CRUZ'!O131</f>
        <v>5</v>
      </c>
      <c r="B137" s="33" t="str">
        <f t="shared" si="5"/>
        <v xml:space="preserve"> </v>
      </c>
      <c r="C137" s="33" t="str">
        <f t="shared" si="6"/>
        <v xml:space="preserve"> </v>
      </c>
      <c r="D137" s="34" t="str">
        <f>IF(A137&lt;0,'CAR PROMAX FILIAL CRUZ'!B131," ")</f>
        <v xml:space="preserve"> </v>
      </c>
      <c r="E137" s="35" t="str">
        <f>IF(A137&lt;0,'CAR PROMAX FILIAL CRUZ'!C131," ")</f>
        <v xml:space="preserve"> </v>
      </c>
      <c r="F137" s="34" t="str">
        <f>IF(A137&lt;0,'CAR PROMAX FILIAL CRUZ'!D131," ")</f>
        <v xml:space="preserve"> </v>
      </c>
      <c r="G137" s="34" t="str">
        <f>IF(A137&lt;0,'CAR PROMAX FILIAL CRUZ'!E131," ")</f>
        <v xml:space="preserve"> </v>
      </c>
      <c r="H137" s="34" t="str">
        <f>IF(A137&lt;0,'CAR PROMAX FILIAL CRUZ'!J131," ")</f>
        <v xml:space="preserve"> </v>
      </c>
      <c r="I137" s="34"/>
      <c r="J137" s="34"/>
      <c r="K137" s="34" t="str">
        <f>IF(A137&lt;0,'CAR PROMAX FILIAL CRUZ'!O131," ")</f>
        <v xml:space="preserve"> </v>
      </c>
      <c r="L137" s="36" t="str">
        <f>IF(A137&lt;0,'CAR PROMAX FILIAL CRUZ'!P131," ")</f>
        <v xml:space="preserve"> </v>
      </c>
      <c r="M137" s="36" t="str">
        <f>IF(A137&lt;0,'CAR PROMAX FILIAL CRUZ'!Q131," ")</f>
        <v xml:space="preserve"> </v>
      </c>
      <c r="N137" s="36" t="str">
        <f>IF(A137&lt;0,'CAR PROMAX FILIAL CRUZ'!R131," ")</f>
        <v xml:space="preserve"> </v>
      </c>
      <c r="O137" s="37" t="str">
        <f>IF(A137&lt;0,'CAR PROMAX FILIAL CRUZ'!S131," ")</f>
        <v xml:space="preserve"> </v>
      </c>
      <c r="P137" s="37" t="str">
        <f>IF(A137&lt;0,'CAR PROMAX FILIAL CRUZ'!T131," ")</f>
        <v xml:space="preserve"> </v>
      </c>
      <c r="Q137" s="37" t="str">
        <f>IF(A137&lt;0,'CAR PROMAX FILIAL CRUZ'!U131," ")</f>
        <v xml:space="preserve"> </v>
      </c>
      <c r="R137" s="34" t="str">
        <f>IF(A137&lt;0,'CAR PROMAX FILIAL CRUZ'!V131," ")</f>
        <v xml:space="preserve"> </v>
      </c>
    </row>
    <row r="138" spans="1:18" x14ac:dyDescent="0.25">
      <c r="A138">
        <f>'CAR PROMAX FILIAL CRUZ'!O132</f>
        <v>5</v>
      </c>
      <c r="B138" s="33" t="str">
        <f t="shared" si="5"/>
        <v xml:space="preserve"> </v>
      </c>
      <c r="C138" s="33" t="str">
        <f t="shared" si="6"/>
        <v xml:space="preserve"> </v>
      </c>
      <c r="D138" s="34" t="str">
        <f>IF(A138&lt;0,'CAR PROMAX FILIAL CRUZ'!B132," ")</f>
        <v xml:space="preserve"> </v>
      </c>
      <c r="E138" s="35" t="str">
        <f>IF(A138&lt;0,'CAR PROMAX FILIAL CRUZ'!C132," ")</f>
        <v xml:space="preserve"> </v>
      </c>
      <c r="F138" s="34" t="str">
        <f>IF(A138&lt;0,'CAR PROMAX FILIAL CRUZ'!D132," ")</f>
        <v xml:space="preserve"> </v>
      </c>
      <c r="G138" s="34" t="str">
        <f>IF(A138&lt;0,'CAR PROMAX FILIAL CRUZ'!E132," ")</f>
        <v xml:space="preserve"> </v>
      </c>
      <c r="H138" s="34" t="str">
        <f>IF(A138&lt;0,'CAR PROMAX FILIAL CRUZ'!J132," ")</f>
        <v xml:space="preserve"> </v>
      </c>
      <c r="I138" s="34"/>
      <c r="J138" s="34"/>
      <c r="K138" s="34" t="str">
        <f>IF(A138&lt;0,'CAR PROMAX FILIAL CRUZ'!O132," ")</f>
        <v xml:space="preserve"> </v>
      </c>
      <c r="L138" s="36" t="str">
        <f>IF(A138&lt;0,'CAR PROMAX FILIAL CRUZ'!P132," ")</f>
        <v xml:space="preserve"> </v>
      </c>
      <c r="M138" s="36" t="str">
        <f>IF(A138&lt;0,'CAR PROMAX FILIAL CRUZ'!Q132," ")</f>
        <v xml:space="preserve"> </v>
      </c>
      <c r="N138" s="36" t="str">
        <f>IF(A138&lt;0,'CAR PROMAX FILIAL CRUZ'!R132," ")</f>
        <v xml:space="preserve"> </v>
      </c>
      <c r="O138" s="37" t="str">
        <f>IF(A138&lt;0,'CAR PROMAX FILIAL CRUZ'!S132," ")</f>
        <v xml:space="preserve"> </v>
      </c>
      <c r="P138" s="37" t="str">
        <f>IF(A138&lt;0,'CAR PROMAX FILIAL CRUZ'!T132," ")</f>
        <v xml:space="preserve"> </v>
      </c>
      <c r="Q138" s="37" t="str">
        <f>IF(A138&lt;0,'CAR PROMAX FILIAL CRUZ'!U132," ")</f>
        <v xml:space="preserve"> </v>
      </c>
      <c r="R138" s="34" t="str">
        <f>IF(A138&lt;0,'CAR PROMAX FILIAL CRUZ'!V132," ")</f>
        <v xml:space="preserve"> </v>
      </c>
    </row>
    <row r="139" spans="1:18" x14ac:dyDescent="0.25">
      <c r="A139">
        <f>'CAR PROMAX FILIAL CRUZ'!O133</f>
        <v>5</v>
      </c>
      <c r="B139" s="33" t="str">
        <f t="shared" si="5"/>
        <v xml:space="preserve"> </v>
      </c>
      <c r="C139" s="33" t="str">
        <f t="shared" si="6"/>
        <v xml:space="preserve"> </v>
      </c>
      <c r="D139" s="34" t="str">
        <f>IF(A139&lt;0,'CAR PROMAX FILIAL CRUZ'!B133," ")</f>
        <v xml:space="preserve"> </v>
      </c>
      <c r="E139" s="35" t="str">
        <f>IF(A139&lt;0,'CAR PROMAX FILIAL CRUZ'!C133," ")</f>
        <v xml:space="preserve"> </v>
      </c>
      <c r="F139" s="34" t="str">
        <f>IF(A139&lt;0,'CAR PROMAX FILIAL CRUZ'!D133," ")</f>
        <v xml:space="preserve"> </v>
      </c>
      <c r="G139" s="34" t="str">
        <f>IF(A139&lt;0,'CAR PROMAX FILIAL CRUZ'!E133," ")</f>
        <v xml:space="preserve"> </v>
      </c>
      <c r="H139" s="34" t="str">
        <f>IF(A139&lt;0,'CAR PROMAX FILIAL CRUZ'!J133," ")</f>
        <v xml:space="preserve"> </v>
      </c>
      <c r="I139" s="34"/>
      <c r="J139" s="34"/>
      <c r="K139" s="34" t="str">
        <f>IF(A139&lt;0,'CAR PROMAX FILIAL CRUZ'!O133," ")</f>
        <v xml:space="preserve"> </v>
      </c>
      <c r="L139" s="36" t="str">
        <f>IF(A139&lt;0,'CAR PROMAX FILIAL CRUZ'!P133," ")</f>
        <v xml:space="preserve"> </v>
      </c>
      <c r="M139" s="36" t="str">
        <f>IF(A139&lt;0,'CAR PROMAX FILIAL CRUZ'!Q133," ")</f>
        <v xml:space="preserve"> </v>
      </c>
      <c r="N139" s="36" t="str">
        <f>IF(A139&lt;0,'CAR PROMAX FILIAL CRUZ'!R133," ")</f>
        <v xml:space="preserve"> </v>
      </c>
      <c r="O139" s="37" t="str">
        <f>IF(A139&lt;0,'CAR PROMAX FILIAL CRUZ'!S133," ")</f>
        <v xml:space="preserve"> </v>
      </c>
      <c r="P139" s="37" t="str">
        <f>IF(A139&lt;0,'CAR PROMAX FILIAL CRUZ'!T133," ")</f>
        <v xml:space="preserve"> </v>
      </c>
      <c r="Q139" s="37" t="str">
        <f>IF(A139&lt;0,'CAR PROMAX FILIAL CRUZ'!U133," ")</f>
        <v xml:space="preserve"> </v>
      </c>
      <c r="R139" s="34" t="str">
        <f>IF(A139&lt;0,'CAR PROMAX FILIAL CRUZ'!V133," ")</f>
        <v xml:space="preserve"> </v>
      </c>
    </row>
    <row r="140" spans="1:18" x14ac:dyDescent="0.25">
      <c r="A140">
        <f>'CAR PROMAX FILIAL CRUZ'!O134</f>
        <v>5</v>
      </c>
      <c r="B140" s="33" t="str">
        <f t="shared" si="5"/>
        <v xml:space="preserve"> </v>
      </c>
      <c r="C140" s="33" t="str">
        <f t="shared" si="6"/>
        <v xml:space="preserve"> </v>
      </c>
      <c r="D140" s="34" t="str">
        <f>IF(A140&lt;0,'CAR PROMAX FILIAL CRUZ'!B134," ")</f>
        <v xml:space="preserve"> </v>
      </c>
      <c r="E140" s="35" t="str">
        <f>IF(A140&lt;0,'CAR PROMAX FILIAL CRUZ'!C134," ")</f>
        <v xml:space="preserve"> </v>
      </c>
      <c r="F140" s="34" t="str">
        <f>IF(A140&lt;0,'CAR PROMAX FILIAL CRUZ'!D134," ")</f>
        <v xml:space="preserve"> </v>
      </c>
      <c r="G140" s="34" t="str">
        <f>IF(A140&lt;0,'CAR PROMAX FILIAL CRUZ'!E134," ")</f>
        <v xml:space="preserve"> </v>
      </c>
      <c r="H140" s="34" t="str">
        <f>IF(A140&lt;0,'CAR PROMAX FILIAL CRUZ'!J134," ")</f>
        <v xml:space="preserve"> </v>
      </c>
      <c r="I140" s="34"/>
      <c r="J140" s="34"/>
      <c r="K140" s="34" t="str">
        <f>IF(A140&lt;0,'CAR PROMAX FILIAL CRUZ'!O134," ")</f>
        <v xml:space="preserve"> </v>
      </c>
      <c r="L140" s="36" t="str">
        <f>IF(A140&lt;0,'CAR PROMAX FILIAL CRUZ'!P134," ")</f>
        <v xml:space="preserve"> </v>
      </c>
      <c r="M140" s="36" t="str">
        <f>IF(A140&lt;0,'CAR PROMAX FILIAL CRUZ'!Q134," ")</f>
        <v xml:space="preserve"> </v>
      </c>
      <c r="N140" s="36" t="str">
        <f>IF(A140&lt;0,'CAR PROMAX FILIAL CRUZ'!R134," ")</f>
        <v xml:space="preserve"> </v>
      </c>
      <c r="O140" s="37" t="str">
        <f>IF(A140&lt;0,'CAR PROMAX FILIAL CRUZ'!S134," ")</f>
        <v xml:space="preserve"> </v>
      </c>
      <c r="P140" s="37" t="str">
        <f>IF(A140&lt;0,'CAR PROMAX FILIAL CRUZ'!T134," ")</f>
        <v xml:space="preserve"> </v>
      </c>
      <c r="Q140" s="37" t="str">
        <f>IF(A140&lt;0,'CAR PROMAX FILIAL CRUZ'!U134," ")</f>
        <v xml:space="preserve"> </v>
      </c>
      <c r="R140" s="34" t="str">
        <f>IF(A140&lt;0,'CAR PROMAX FILIAL CRUZ'!V134," ")</f>
        <v xml:space="preserve"> </v>
      </c>
    </row>
    <row r="141" spans="1:18" x14ac:dyDescent="0.25">
      <c r="A141">
        <f>'CAR PROMAX FILIAL CRUZ'!O135</f>
        <v>5</v>
      </c>
      <c r="B141" s="33" t="str">
        <f t="shared" si="5"/>
        <v xml:space="preserve"> </v>
      </c>
      <c r="C141" s="33" t="str">
        <f t="shared" si="6"/>
        <v xml:space="preserve"> </v>
      </c>
      <c r="D141" s="34" t="str">
        <f>IF(A141&lt;0,'CAR PROMAX FILIAL CRUZ'!B135," ")</f>
        <v xml:space="preserve"> </v>
      </c>
      <c r="E141" s="35" t="str">
        <f>IF(A141&lt;0,'CAR PROMAX FILIAL CRUZ'!C135," ")</f>
        <v xml:space="preserve"> </v>
      </c>
      <c r="F141" s="34" t="str">
        <f>IF(A141&lt;0,'CAR PROMAX FILIAL CRUZ'!D135," ")</f>
        <v xml:space="preserve"> </v>
      </c>
      <c r="G141" s="34" t="str">
        <f>IF(A141&lt;0,'CAR PROMAX FILIAL CRUZ'!E135," ")</f>
        <v xml:space="preserve"> </v>
      </c>
      <c r="H141" s="34" t="str">
        <f>IF(A141&lt;0,'CAR PROMAX FILIAL CRUZ'!J135," ")</f>
        <v xml:space="preserve"> </v>
      </c>
      <c r="I141" s="34"/>
      <c r="J141" s="34"/>
      <c r="K141" s="34" t="str">
        <f>IF(A141&lt;0,'CAR PROMAX FILIAL CRUZ'!O135," ")</f>
        <v xml:space="preserve"> </v>
      </c>
      <c r="L141" s="36" t="str">
        <f>IF(A141&lt;0,'CAR PROMAX FILIAL CRUZ'!P135," ")</f>
        <v xml:space="preserve"> </v>
      </c>
      <c r="M141" s="36" t="str">
        <f>IF(A141&lt;0,'CAR PROMAX FILIAL CRUZ'!Q135," ")</f>
        <v xml:space="preserve"> </v>
      </c>
      <c r="N141" s="36" t="str">
        <f>IF(A141&lt;0,'CAR PROMAX FILIAL CRUZ'!R135," ")</f>
        <v xml:space="preserve"> </v>
      </c>
      <c r="O141" s="37" t="str">
        <f>IF(A141&lt;0,'CAR PROMAX FILIAL CRUZ'!S135," ")</f>
        <v xml:space="preserve"> </v>
      </c>
      <c r="P141" s="37" t="str">
        <f>IF(A141&lt;0,'CAR PROMAX FILIAL CRUZ'!T135," ")</f>
        <v xml:space="preserve"> </v>
      </c>
      <c r="Q141" s="37" t="str">
        <f>IF(A141&lt;0,'CAR PROMAX FILIAL CRUZ'!U135," ")</f>
        <v xml:space="preserve"> </v>
      </c>
      <c r="R141" s="34" t="str">
        <f>IF(A141&lt;0,'CAR PROMAX FILIAL CRUZ'!V135," ")</f>
        <v xml:space="preserve"> </v>
      </c>
    </row>
    <row r="142" spans="1:18" x14ac:dyDescent="0.25">
      <c r="A142">
        <f>'CAR PROMAX FILIAL CRUZ'!O136</f>
        <v>5</v>
      </c>
      <c r="B142" s="33" t="str">
        <f t="shared" ref="B142:B205" si="7">IF(K142&lt;0,IF(K142&gt;-31,"INAD.",IF(K142&gt;-75,"IREC.","PDD"))," ")</f>
        <v xml:space="preserve"> </v>
      </c>
      <c r="C142" s="33" t="str">
        <f t="shared" si="6"/>
        <v xml:space="preserve"> </v>
      </c>
      <c r="D142" s="34" t="str">
        <f>IF(A142&lt;0,'CAR PROMAX FILIAL CRUZ'!B136," ")</f>
        <v xml:space="preserve"> </v>
      </c>
      <c r="E142" s="35" t="str">
        <f>IF(A142&lt;0,'CAR PROMAX FILIAL CRUZ'!C136," ")</f>
        <v xml:space="preserve"> </v>
      </c>
      <c r="F142" s="34" t="str">
        <f>IF(A142&lt;0,'CAR PROMAX FILIAL CRUZ'!D136," ")</f>
        <v xml:space="preserve"> </v>
      </c>
      <c r="G142" s="34" t="str">
        <f>IF(A142&lt;0,'CAR PROMAX FILIAL CRUZ'!E136," ")</f>
        <v xml:space="preserve"> </v>
      </c>
      <c r="H142" s="34" t="str">
        <f>IF(A142&lt;0,'CAR PROMAX FILIAL CRUZ'!J136," ")</f>
        <v xml:space="preserve"> </v>
      </c>
      <c r="I142" s="34"/>
      <c r="J142" s="34"/>
      <c r="K142" s="34" t="str">
        <f>IF(A142&lt;0,'CAR PROMAX FILIAL CRUZ'!O136," ")</f>
        <v xml:space="preserve"> </v>
      </c>
      <c r="L142" s="36" t="str">
        <f>IF(A142&lt;0,'CAR PROMAX FILIAL CRUZ'!P136," ")</f>
        <v xml:space="preserve"> </v>
      </c>
      <c r="M142" s="36" t="str">
        <f>IF(A142&lt;0,'CAR PROMAX FILIAL CRUZ'!Q136," ")</f>
        <v xml:space="preserve"> </v>
      </c>
      <c r="N142" s="36" t="str">
        <f>IF(A142&lt;0,'CAR PROMAX FILIAL CRUZ'!R136," ")</f>
        <v xml:space="preserve"> </v>
      </c>
      <c r="O142" s="37" t="str">
        <f>IF(A142&lt;0,'CAR PROMAX FILIAL CRUZ'!S136," ")</f>
        <v xml:space="preserve"> </v>
      </c>
      <c r="P142" s="37" t="str">
        <f>IF(A142&lt;0,'CAR PROMAX FILIAL CRUZ'!T136," ")</f>
        <v xml:space="preserve"> </v>
      </c>
      <c r="Q142" s="37" t="str">
        <f>IF(A142&lt;0,'CAR PROMAX FILIAL CRUZ'!U136," ")</f>
        <v xml:space="preserve"> </v>
      </c>
      <c r="R142" s="34" t="str">
        <f>IF(A142&lt;0,'CAR PROMAX FILIAL CRUZ'!V136," ")</f>
        <v xml:space="preserve"> </v>
      </c>
    </row>
    <row r="143" spans="1:18" x14ac:dyDescent="0.25">
      <c r="A143">
        <f>'CAR PROMAX FILIAL CRUZ'!O137</f>
        <v>6</v>
      </c>
      <c r="B143" s="33" t="str">
        <f t="shared" si="7"/>
        <v xml:space="preserve"> </v>
      </c>
      <c r="C143" s="33" t="str">
        <f t="shared" si="6"/>
        <v xml:space="preserve"> </v>
      </c>
      <c r="D143" s="34" t="str">
        <f>IF(A143&lt;0,'CAR PROMAX FILIAL CRUZ'!B137," ")</f>
        <v xml:space="preserve"> </v>
      </c>
      <c r="E143" s="35" t="str">
        <f>IF(A143&lt;0,'CAR PROMAX FILIAL CRUZ'!C137," ")</f>
        <v xml:space="preserve"> </v>
      </c>
      <c r="F143" s="34" t="str">
        <f>IF(A143&lt;0,'CAR PROMAX FILIAL CRUZ'!D137," ")</f>
        <v xml:space="preserve"> </v>
      </c>
      <c r="G143" s="34" t="str">
        <f>IF(A143&lt;0,'CAR PROMAX FILIAL CRUZ'!E137," ")</f>
        <v xml:space="preserve"> </v>
      </c>
      <c r="H143" s="34" t="str">
        <f>IF(A143&lt;0,'CAR PROMAX FILIAL CRUZ'!J137," ")</f>
        <v xml:space="preserve"> </v>
      </c>
      <c r="I143" s="34"/>
      <c r="J143" s="34"/>
      <c r="K143" s="34" t="str">
        <f>IF(A143&lt;0,'CAR PROMAX FILIAL CRUZ'!O137," ")</f>
        <v xml:space="preserve"> </v>
      </c>
      <c r="L143" s="36" t="str">
        <f>IF(A143&lt;0,'CAR PROMAX FILIAL CRUZ'!P137," ")</f>
        <v xml:space="preserve"> </v>
      </c>
      <c r="M143" s="36" t="str">
        <f>IF(A143&lt;0,'CAR PROMAX FILIAL CRUZ'!Q137," ")</f>
        <v xml:space="preserve"> </v>
      </c>
      <c r="N143" s="36" t="str">
        <f>IF(A143&lt;0,'CAR PROMAX FILIAL CRUZ'!R137," ")</f>
        <v xml:space="preserve"> </v>
      </c>
      <c r="O143" s="37" t="str">
        <f>IF(A143&lt;0,'CAR PROMAX FILIAL CRUZ'!S137," ")</f>
        <v xml:space="preserve"> </v>
      </c>
      <c r="P143" s="37" t="str">
        <f>IF(A143&lt;0,'CAR PROMAX FILIAL CRUZ'!T137," ")</f>
        <v xml:space="preserve"> </v>
      </c>
      <c r="Q143" s="37" t="str">
        <f>IF(A143&lt;0,'CAR PROMAX FILIAL CRUZ'!U137," ")</f>
        <v xml:space="preserve"> </v>
      </c>
      <c r="R143" s="34" t="str">
        <f>IF(A143&lt;0,'CAR PROMAX FILIAL CRUZ'!V137," ")</f>
        <v xml:space="preserve"> </v>
      </c>
    </row>
    <row r="144" spans="1:18" x14ac:dyDescent="0.25">
      <c r="A144">
        <f>'CAR PROMAX FILIAL CRUZ'!O138</f>
        <v>6</v>
      </c>
      <c r="B144" s="33" t="str">
        <f t="shared" si="7"/>
        <v xml:space="preserve"> </v>
      </c>
      <c r="C144" s="33" t="str">
        <f t="shared" si="6"/>
        <v xml:space="preserve"> </v>
      </c>
      <c r="D144" s="34" t="str">
        <f>IF(A144&lt;0,'CAR PROMAX FILIAL CRUZ'!B138," ")</f>
        <v xml:space="preserve"> </v>
      </c>
      <c r="E144" s="35" t="str">
        <f>IF(A144&lt;0,'CAR PROMAX FILIAL CRUZ'!C138," ")</f>
        <v xml:space="preserve"> </v>
      </c>
      <c r="F144" s="34" t="str">
        <f>IF(A144&lt;0,'CAR PROMAX FILIAL CRUZ'!D138," ")</f>
        <v xml:space="preserve"> </v>
      </c>
      <c r="G144" s="34" t="str">
        <f>IF(A144&lt;0,'CAR PROMAX FILIAL CRUZ'!E138," ")</f>
        <v xml:space="preserve"> </v>
      </c>
      <c r="H144" s="34" t="str">
        <f>IF(A144&lt;0,'CAR PROMAX FILIAL CRUZ'!J138," ")</f>
        <v xml:space="preserve"> </v>
      </c>
      <c r="I144" s="34"/>
      <c r="J144" s="34"/>
      <c r="K144" s="34" t="str">
        <f>IF(A144&lt;0,'CAR PROMAX FILIAL CRUZ'!O138," ")</f>
        <v xml:space="preserve"> </v>
      </c>
      <c r="L144" s="36" t="str">
        <f>IF(A144&lt;0,'CAR PROMAX FILIAL CRUZ'!P138," ")</f>
        <v xml:space="preserve"> </v>
      </c>
      <c r="M144" s="36" t="str">
        <f>IF(A144&lt;0,'CAR PROMAX FILIAL CRUZ'!Q138," ")</f>
        <v xml:space="preserve"> </v>
      </c>
      <c r="N144" s="36" t="str">
        <f>IF(A144&lt;0,'CAR PROMAX FILIAL CRUZ'!R138," ")</f>
        <v xml:space="preserve"> </v>
      </c>
      <c r="O144" s="37" t="str">
        <f>IF(A144&lt;0,'CAR PROMAX FILIAL CRUZ'!S138," ")</f>
        <v xml:space="preserve"> </v>
      </c>
      <c r="P144" s="37" t="str">
        <f>IF(A144&lt;0,'CAR PROMAX FILIAL CRUZ'!T138," ")</f>
        <v xml:space="preserve"> </v>
      </c>
      <c r="Q144" s="37" t="str">
        <f>IF(A144&lt;0,'CAR PROMAX FILIAL CRUZ'!U138," ")</f>
        <v xml:space="preserve"> </v>
      </c>
      <c r="R144" s="34" t="str">
        <f>IF(A144&lt;0,'CAR PROMAX FILIAL CRUZ'!V138," ")</f>
        <v xml:space="preserve"> </v>
      </c>
    </row>
    <row r="145" spans="1:18" x14ac:dyDescent="0.25">
      <c r="A145">
        <f>'CAR PROMAX FILIAL CRUZ'!O139</f>
        <v>6</v>
      </c>
      <c r="B145" s="33" t="str">
        <f t="shared" si="7"/>
        <v xml:space="preserve"> </v>
      </c>
      <c r="C145" s="33" t="str">
        <f t="shared" si="6"/>
        <v xml:space="preserve"> </v>
      </c>
      <c r="D145" s="34" t="str">
        <f>IF(A145&lt;0,'CAR PROMAX FILIAL CRUZ'!B139," ")</f>
        <v xml:space="preserve"> </v>
      </c>
      <c r="E145" s="35" t="str">
        <f>IF(A145&lt;0,'CAR PROMAX FILIAL CRUZ'!C139," ")</f>
        <v xml:space="preserve"> </v>
      </c>
      <c r="F145" s="34" t="str">
        <f>IF(A145&lt;0,'CAR PROMAX FILIAL CRUZ'!D139," ")</f>
        <v xml:space="preserve"> </v>
      </c>
      <c r="G145" s="34" t="str">
        <f>IF(A145&lt;0,'CAR PROMAX FILIAL CRUZ'!E139," ")</f>
        <v xml:space="preserve"> </v>
      </c>
      <c r="H145" s="34" t="str">
        <f>IF(A145&lt;0,'CAR PROMAX FILIAL CRUZ'!J139," ")</f>
        <v xml:space="preserve"> </v>
      </c>
      <c r="I145" s="34"/>
      <c r="J145" s="34"/>
      <c r="K145" s="34" t="str">
        <f>IF(A145&lt;0,'CAR PROMAX FILIAL CRUZ'!O139," ")</f>
        <v xml:space="preserve"> </v>
      </c>
      <c r="L145" s="36" t="str">
        <f>IF(A145&lt;0,'CAR PROMAX FILIAL CRUZ'!P139," ")</f>
        <v xml:space="preserve"> </v>
      </c>
      <c r="M145" s="36" t="str">
        <f>IF(A145&lt;0,'CAR PROMAX FILIAL CRUZ'!Q139," ")</f>
        <v xml:space="preserve"> </v>
      </c>
      <c r="N145" s="36" t="str">
        <f>IF(A145&lt;0,'CAR PROMAX FILIAL CRUZ'!R139," ")</f>
        <v xml:space="preserve"> </v>
      </c>
      <c r="O145" s="37" t="str">
        <f>IF(A145&lt;0,'CAR PROMAX FILIAL CRUZ'!S139," ")</f>
        <v xml:space="preserve"> </v>
      </c>
      <c r="P145" s="37" t="str">
        <f>IF(A145&lt;0,'CAR PROMAX FILIAL CRUZ'!T139," ")</f>
        <v xml:space="preserve"> </v>
      </c>
      <c r="Q145" s="37" t="str">
        <f>IF(A145&lt;0,'CAR PROMAX FILIAL CRUZ'!U139," ")</f>
        <v xml:space="preserve"> </v>
      </c>
      <c r="R145" s="34" t="str">
        <f>IF(A145&lt;0,'CAR PROMAX FILIAL CRUZ'!V139," ")</f>
        <v xml:space="preserve"> </v>
      </c>
    </row>
    <row r="146" spans="1:18" x14ac:dyDescent="0.25">
      <c r="A146">
        <f>'CAR PROMAX FILIAL CRUZ'!O140</f>
        <v>6</v>
      </c>
      <c r="B146" s="33" t="str">
        <f t="shared" si="7"/>
        <v xml:space="preserve"> </v>
      </c>
      <c r="C146" s="33" t="str">
        <f t="shared" si="6"/>
        <v xml:space="preserve"> </v>
      </c>
      <c r="D146" s="34" t="str">
        <f>IF(A146&lt;0,'CAR PROMAX FILIAL CRUZ'!B140," ")</f>
        <v xml:space="preserve"> </v>
      </c>
      <c r="E146" s="35" t="str">
        <f>IF(A146&lt;0,'CAR PROMAX FILIAL CRUZ'!C140," ")</f>
        <v xml:space="preserve"> </v>
      </c>
      <c r="F146" s="34" t="str">
        <f>IF(A146&lt;0,'CAR PROMAX FILIAL CRUZ'!D140," ")</f>
        <v xml:space="preserve"> </v>
      </c>
      <c r="G146" s="34" t="str">
        <f>IF(A146&lt;0,'CAR PROMAX FILIAL CRUZ'!E140," ")</f>
        <v xml:space="preserve"> </v>
      </c>
      <c r="H146" s="34" t="str">
        <f>IF(A146&lt;0,'CAR PROMAX FILIAL CRUZ'!J140," ")</f>
        <v xml:space="preserve"> </v>
      </c>
      <c r="I146" s="34"/>
      <c r="J146" s="34"/>
      <c r="K146" s="34" t="str">
        <f>IF(A146&lt;0,'CAR PROMAX FILIAL CRUZ'!O140," ")</f>
        <v xml:space="preserve"> </v>
      </c>
      <c r="L146" s="36" t="str">
        <f>IF(A146&lt;0,'CAR PROMAX FILIAL CRUZ'!P140," ")</f>
        <v xml:space="preserve"> </v>
      </c>
      <c r="M146" s="36" t="str">
        <f>IF(A146&lt;0,'CAR PROMAX FILIAL CRUZ'!Q140," ")</f>
        <v xml:space="preserve"> </v>
      </c>
      <c r="N146" s="36" t="str">
        <f>IF(A146&lt;0,'CAR PROMAX FILIAL CRUZ'!R140," ")</f>
        <v xml:space="preserve"> </v>
      </c>
      <c r="O146" s="37" t="str">
        <f>IF(A146&lt;0,'CAR PROMAX FILIAL CRUZ'!S140," ")</f>
        <v xml:space="preserve"> </v>
      </c>
      <c r="P146" s="37" t="str">
        <f>IF(A146&lt;0,'CAR PROMAX FILIAL CRUZ'!T140," ")</f>
        <v xml:space="preserve"> </v>
      </c>
      <c r="Q146" s="37" t="str">
        <f>IF(A146&lt;0,'CAR PROMAX FILIAL CRUZ'!U140," ")</f>
        <v xml:space="preserve"> </v>
      </c>
      <c r="R146" s="34" t="str">
        <f>IF(A146&lt;0,'CAR PROMAX FILIAL CRUZ'!V140," ")</f>
        <v xml:space="preserve"> </v>
      </c>
    </row>
    <row r="147" spans="1:18" x14ac:dyDescent="0.25">
      <c r="A147">
        <f>'CAR PROMAX FILIAL CRUZ'!O141</f>
        <v>6</v>
      </c>
      <c r="B147" s="33" t="str">
        <f t="shared" si="7"/>
        <v xml:space="preserve"> </v>
      </c>
      <c r="C147" s="33" t="str">
        <f t="shared" si="6"/>
        <v xml:space="preserve"> </v>
      </c>
      <c r="D147" s="34" t="str">
        <f>IF(A147&lt;0,'CAR PROMAX FILIAL CRUZ'!B141," ")</f>
        <v xml:space="preserve"> </v>
      </c>
      <c r="E147" s="35" t="str">
        <f>IF(A147&lt;0,'CAR PROMAX FILIAL CRUZ'!C141," ")</f>
        <v xml:space="preserve"> </v>
      </c>
      <c r="F147" s="34" t="str">
        <f>IF(A147&lt;0,'CAR PROMAX FILIAL CRUZ'!D141," ")</f>
        <v xml:space="preserve"> </v>
      </c>
      <c r="G147" s="34" t="str">
        <f>IF(A147&lt;0,'CAR PROMAX FILIAL CRUZ'!E141," ")</f>
        <v xml:space="preserve"> </v>
      </c>
      <c r="H147" s="34" t="str">
        <f>IF(A147&lt;0,'CAR PROMAX FILIAL CRUZ'!J141," ")</f>
        <v xml:space="preserve"> </v>
      </c>
      <c r="I147" s="34"/>
      <c r="J147" s="34"/>
      <c r="K147" s="34" t="str">
        <f>IF(A147&lt;0,'CAR PROMAX FILIAL CRUZ'!O141," ")</f>
        <v xml:space="preserve"> </v>
      </c>
      <c r="L147" s="36" t="str">
        <f>IF(A147&lt;0,'CAR PROMAX FILIAL CRUZ'!P141," ")</f>
        <v xml:space="preserve"> </v>
      </c>
      <c r="M147" s="36" t="str">
        <f>IF(A147&lt;0,'CAR PROMAX FILIAL CRUZ'!Q141," ")</f>
        <v xml:space="preserve"> </v>
      </c>
      <c r="N147" s="36" t="str">
        <f>IF(A147&lt;0,'CAR PROMAX FILIAL CRUZ'!R141," ")</f>
        <v xml:space="preserve"> </v>
      </c>
      <c r="O147" s="37" t="str">
        <f>IF(A147&lt;0,'CAR PROMAX FILIAL CRUZ'!S141," ")</f>
        <v xml:space="preserve"> </v>
      </c>
      <c r="P147" s="37" t="str">
        <f>IF(A147&lt;0,'CAR PROMAX FILIAL CRUZ'!T141," ")</f>
        <v xml:space="preserve"> </v>
      </c>
      <c r="Q147" s="37" t="str">
        <f>IF(A147&lt;0,'CAR PROMAX FILIAL CRUZ'!U141," ")</f>
        <v xml:space="preserve"> </v>
      </c>
      <c r="R147" s="34" t="str">
        <f>IF(A147&lt;0,'CAR PROMAX FILIAL CRUZ'!V141," ")</f>
        <v xml:space="preserve"> </v>
      </c>
    </row>
    <row r="148" spans="1:18" x14ac:dyDescent="0.25">
      <c r="A148">
        <f>'CAR PROMAX FILIAL CRUZ'!O142</f>
        <v>6</v>
      </c>
      <c r="B148" s="33" t="str">
        <f t="shared" si="7"/>
        <v xml:space="preserve"> </v>
      </c>
      <c r="C148" s="33" t="str">
        <f t="shared" si="6"/>
        <v xml:space="preserve"> </v>
      </c>
      <c r="D148" s="34" t="str">
        <f>IF(A148&lt;0,'CAR PROMAX FILIAL CRUZ'!B142," ")</f>
        <v xml:space="preserve"> </v>
      </c>
      <c r="E148" s="35" t="str">
        <f>IF(A148&lt;0,'CAR PROMAX FILIAL CRUZ'!C142," ")</f>
        <v xml:space="preserve"> </v>
      </c>
      <c r="F148" s="34" t="str">
        <f>IF(A148&lt;0,'CAR PROMAX FILIAL CRUZ'!D142," ")</f>
        <v xml:space="preserve"> </v>
      </c>
      <c r="G148" s="34" t="str">
        <f>IF(A148&lt;0,'CAR PROMAX FILIAL CRUZ'!E142," ")</f>
        <v xml:space="preserve"> </v>
      </c>
      <c r="H148" s="34" t="str">
        <f>IF(A148&lt;0,'CAR PROMAX FILIAL CRUZ'!J142," ")</f>
        <v xml:space="preserve"> </v>
      </c>
      <c r="I148" s="34"/>
      <c r="J148" s="34"/>
      <c r="K148" s="34" t="str">
        <f>IF(A148&lt;0,'CAR PROMAX FILIAL CRUZ'!O142," ")</f>
        <v xml:space="preserve"> </v>
      </c>
      <c r="L148" s="36" t="str">
        <f>IF(A148&lt;0,'CAR PROMAX FILIAL CRUZ'!P142," ")</f>
        <v xml:space="preserve"> </v>
      </c>
      <c r="M148" s="36" t="str">
        <f>IF(A148&lt;0,'CAR PROMAX FILIAL CRUZ'!Q142," ")</f>
        <v xml:space="preserve"> </v>
      </c>
      <c r="N148" s="36" t="str">
        <f>IF(A148&lt;0,'CAR PROMAX FILIAL CRUZ'!R142," ")</f>
        <v xml:space="preserve"> </v>
      </c>
      <c r="O148" s="37" t="str">
        <f>IF(A148&lt;0,'CAR PROMAX FILIAL CRUZ'!S142," ")</f>
        <v xml:space="preserve"> </v>
      </c>
      <c r="P148" s="37" t="str">
        <f>IF(A148&lt;0,'CAR PROMAX FILIAL CRUZ'!T142," ")</f>
        <v xml:space="preserve"> </v>
      </c>
      <c r="Q148" s="37" t="str">
        <f>IF(A148&lt;0,'CAR PROMAX FILIAL CRUZ'!U142," ")</f>
        <v xml:space="preserve"> </v>
      </c>
      <c r="R148" s="34" t="str">
        <f>IF(A148&lt;0,'CAR PROMAX FILIAL CRUZ'!V142," ")</f>
        <v xml:space="preserve"> </v>
      </c>
    </row>
    <row r="149" spans="1:18" x14ac:dyDescent="0.25">
      <c r="A149">
        <f>'CAR PROMAX FILIAL CRUZ'!O143</f>
        <v>6</v>
      </c>
      <c r="B149" s="33" t="str">
        <f t="shared" si="7"/>
        <v xml:space="preserve"> </v>
      </c>
      <c r="C149" s="33" t="str">
        <f t="shared" si="6"/>
        <v xml:space="preserve"> </v>
      </c>
      <c r="D149" s="34" t="str">
        <f>IF(A149&lt;0,'CAR PROMAX FILIAL CRUZ'!B143," ")</f>
        <v xml:space="preserve"> </v>
      </c>
      <c r="E149" s="35" t="str">
        <f>IF(A149&lt;0,'CAR PROMAX FILIAL CRUZ'!C143," ")</f>
        <v xml:space="preserve"> </v>
      </c>
      <c r="F149" s="34" t="str">
        <f>IF(A149&lt;0,'CAR PROMAX FILIAL CRUZ'!D143," ")</f>
        <v xml:space="preserve"> </v>
      </c>
      <c r="G149" s="34" t="str">
        <f>IF(A149&lt;0,'CAR PROMAX FILIAL CRUZ'!E143," ")</f>
        <v xml:space="preserve"> </v>
      </c>
      <c r="H149" s="34" t="str">
        <f>IF(A149&lt;0,'CAR PROMAX FILIAL CRUZ'!J143," ")</f>
        <v xml:space="preserve"> </v>
      </c>
      <c r="I149" s="34"/>
      <c r="J149" s="34"/>
      <c r="K149" s="34" t="str">
        <f>IF(A149&lt;0,'CAR PROMAX FILIAL CRUZ'!O143," ")</f>
        <v xml:space="preserve"> </v>
      </c>
      <c r="L149" s="36" t="str">
        <f>IF(A149&lt;0,'CAR PROMAX FILIAL CRUZ'!P143," ")</f>
        <v xml:space="preserve"> </v>
      </c>
      <c r="M149" s="36" t="str">
        <f>IF(A149&lt;0,'CAR PROMAX FILIAL CRUZ'!Q143," ")</f>
        <v xml:space="preserve"> </v>
      </c>
      <c r="N149" s="36" t="str">
        <f>IF(A149&lt;0,'CAR PROMAX FILIAL CRUZ'!R143," ")</f>
        <v xml:space="preserve"> </v>
      </c>
      <c r="O149" s="37" t="str">
        <f>IF(A149&lt;0,'CAR PROMAX FILIAL CRUZ'!S143," ")</f>
        <v xml:space="preserve"> </v>
      </c>
      <c r="P149" s="37" t="str">
        <f>IF(A149&lt;0,'CAR PROMAX FILIAL CRUZ'!T143," ")</f>
        <v xml:space="preserve"> </v>
      </c>
      <c r="Q149" s="37" t="str">
        <f>IF(A149&lt;0,'CAR PROMAX FILIAL CRUZ'!U143," ")</f>
        <v xml:space="preserve"> </v>
      </c>
      <c r="R149" s="34" t="str">
        <f>IF(A149&lt;0,'CAR PROMAX FILIAL CRUZ'!V143," ")</f>
        <v xml:space="preserve"> </v>
      </c>
    </row>
    <row r="150" spans="1:18" x14ac:dyDescent="0.25">
      <c r="A150">
        <f>'CAR PROMAX FILIAL CRUZ'!O144</f>
        <v>6</v>
      </c>
      <c r="B150" s="33" t="str">
        <f t="shared" si="7"/>
        <v xml:space="preserve"> </v>
      </c>
      <c r="C150" s="33" t="str">
        <f t="shared" si="6"/>
        <v xml:space="preserve"> </v>
      </c>
      <c r="D150" s="34" t="str">
        <f>IF(A150&lt;0,'CAR PROMAX FILIAL CRUZ'!B144," ")</f>
        <v xml:space="preserve"> </v>
      </c>
      <c r="E150" s="35" t="str">
        <f>IF(A150&lt;0,'CAR PROMAX FILIAL CRUZ'!C144," ")</f>
        <v xml:space="preserve"> </v>
      </c>
      <c r="F150" s="34" t="str">
        <f>IF(A150&lt;0,'CAR PROMAX FILIAL CRUZ'!D144," ")</f>
        <v xml:space="preserve"> </v>
      </c>
      <c r="G150" s="34" t="str">
        <f>IF(A150&lt;0,'CAR PROMAX FILIAL CRUZ'!E144," ")</f>
        <v xml:space="preserve"> </v>
      </c>
      <c r="H150" s="34" t="str">
        <f>IF(A150&lt;0,'CAR PROMAX FILIAL CRUZ'!J144," ")</f>
        <v xml:space="preserve"> </v>
      </c>
      <c r="I150" s="34"/>
      <c r="J150" s="34"/>
      <c r="K150" s="34" t="str">
        <f>IF(A150&lt;0,'CAR PROMAX FILIAL CRUZ'!O144," ")</f>
        <v xml:space="preserve"> </v>
      </c>
      <c r="L150" s="36" t="str">
        <f>IF(A150&lt;0,'CAR PROMAX FILIAL CRUZ'!P144," ")</f>
        <v xml:space="preserve"> </v>
      </c>
      <c r="M150" s="36" t="str">
        <f>IF(A150&lt;0,'CAR PROMAX FILIAL CRUZ'!Q144," ")</f>
        <v xml:space="preserve"> </v>
      </c>
      <c r="N150" s="36" t="str">
        <f>IF(A150&lt;0,'CAR PROMAX FILIAL CRUZ'!R144," ")</f>
        <v xml:space="preserve"> </v>
      </c>
      <c r="O150" s="37" t="str">
        <f>IF(A150&lt;0,'CAR PROMAX FILIAL CRUZ'!S144," ")</f>
        <v xml:space="preserve"> </v>
      </c>
      <c r="P150" s="37" t="str">
        <f>IF(A150&lt;0,'CAR PROMAX FILIAL CRUZ'!T144," ")</f>
        <v xml:space="preserve"> </v>
      </c>
      <c r="Q150" s="37" t="str">
        <f>IF(A150&lt;0,'CAR PROMAX FILIAL CRUZ'!U144," ")</f>
        <v xml:space="preserve"> </v>
      </c>
      <c r="R150" s="34" t="str">
        <f>IF(A150&lt;0,'CAR PROMAX FILIAL CRUZ'!V144," ")</f>
        <v xml:space="preserve"> </v>
      </c>
    </row>
    <row r="151" spans="1:18" x14ac:dyDescent="0.25">
      <c r="A151">
        <f>'CAR PROMAX FILIAL CRUZ'!O145</f>
        <v>6</v>
      </c>
      <c r="B151" s="33" t="str">
        <f t="shared" si="7"/>
        <v xml:space="preserve"> </v>
      </c>
      <c r="C151" s="33" t="str">
        <f t="shared" si="6"/>
        <v xml:space="preserve"> </v>
      </c>
      <c r="D151" s="34" t="str">
        <f>IF(A151&lt;0,'CAR PROMAX FILIAL CRUZ'!B145," ")</f>
        <v xml:space="preserve"> </v>
      </c>
      <c r="E151" s="35" t="str">
        <f>IF(A151&lt;0,'CAR PROMAX FILIAL CRUZ'!C145," ")</f>
        <v xml:space="preserve"> </v>
      </c>
      <c r="F151" s="34" t="str">
        <f>IF(A151&lt;0,'CAR PROMAX FILIAL CRUZ'!D145," ")</f>
        <v xml:space="preserve"> </v>
      </c>
      <c r="G151" s="34" t="str">
        <f>IF(A151&lt;0,'CAR PROMAX FILIAL CRUZ'!E145," ")</f>
        <v xml:space="preserve"> </v>
      </c>
      <c r="H151" s="34" t="str">
        <f>IF(A151&lt;0,'CAR PROMAX FILIAL CRUZ'!J145," ")</f>
        <v xml:space="preserve"> </v>
      </c>
      <c r="I151" s="34"/>
      <c r="J151" s="34"/>
      <c r="K151" s="34" t="str">
        <f>IF(A151&lt;0,'CAR PROMAX FILIAL CRUZ'!O145," ")</f>
        <v xml:space="preserve"> </v>
      </c>
      <c r="L151" s="36" t="str">
        <f>IF(A151&lt;0,'CAR PROMAX FILIAL CRUZ'!P145," ")</f>
        <v xml:space="preserve"> </v>
      </c>
      <c r="M151" s="36" t="str">
        <f>IF(A151&lt;0,'CAR PROMAX FILIAL CRUZ'!Q145," ")</f>
        <v xml:space="preserve"> </v>
      </c>
      <c r="N151" s="36" t="str">
        <f>IF(A151&lt;0,'CAR PROMAX FILIAL CRUZ'!R145," ")</f>
        <v xml:space="preserve"> </v>
      </c>
      <c r="O151" s="37" t="str">
        <f>IF(A151&lt;0,'CAR PROMAX FILIAL CRUZ'!S145," ")</f>
        <v xml:space="preserve"> </v>
      </c>
      <c r="P151" s="37" t="str">
        <f>IF(A151&lt;0,'CAR PROMAX FILIAL CRUZ'!T145," ")</f>
        <v xml:space="preserve"> </v>
      </c>
      <c r="Q151" s="37" t="str">
        <f>IF(A151&lt;0,'CAR PROMAX FILIAL CRUZ'!U145," ")</f>
        <v xml:space="preserve"> </v>
      </c>
      <c r="R151" s="34" t="str">
        <f>IF(A151&lt;0,'CAR PROMAX FILIAL CRUZ'!V145," ")</f>
        <v xml:space="preserve"> </v>
      </c>
    </row>
    <row r="152" spans="1:18" x14ac:dyDescent="0.25">
      <c r="A152">
        <f>'CAR PROMAX FILIAL CRUZ'!O146</f>
        <v>6</v>
      </c>
      <c r="B152" s="33" t="str">
        <f t="shared" si="7"/>
        <v xml:space="preserve"> </v>
      </c>
      <c r="C152" s="33" t="str">
        <f t="shared" si="6"/>
        <v xml:space="preserve"> </v>
      </c>
      <c r="D152" s="34" t="str">
        <f>IF(A152&lt;0,'CAR PROMAX FILIAL CRUZ'!B146," ")</f>
        <v xml:space="preserve"> </v>
      </c>
      <c r="E152" s="35" t="str">
        <f>IF(A152&lt;0,'CAR PROMAX FILIAL CRUZ'!C146," ")</f>
        <v xml:space="preserve"> </v>
      </c>
      <c r="F152" s="34" t="str">
        <f>IF(A152&lt;0,'CAR PROMAX FILIAL CRUZ'!D146," ")</f>
        <v xml:space="preserve"> </v>
      </c>
      <c r="G152" s="34" t="str">
        <f>IF(A152&lt;0,'CAR PROMAX FILIAL CRUZ'!E146," ")</f>
        <v xml:space="preserve"> </v>
      </c>
      <c r="H152" s="34" t="str">
        <f>IF(A152&lt;0,'CAR PROMAX FILIAL CRUZ'!J146," ")</f>
        <v xml:space="preserve"> </v>
      </c>
      <c r="I152" s="34"/>
      <c r="J152" s="34"/>
      <c r="K152" s="34" t="str">
        <f>IF(A152&lt;0,'CAR PROMAX FILIAL CRUZ'!O146," ")</f>
        <v xml:space="preserve"> </v>
      </c>
      <c r="L152" s="36" t="str">
        <f>IF(A152&lt;0,'CAR PROMAX FILIAL CRUZ'!P146," ")</f>
        <v xml:space="preserve"> </v>
      </c>
      <c r="M152" s="36" t="str">
        <f>IF(A152&lt;0,'CAR PROMAX FILIAL CRUZ'!Q146," ")</f>
        <v xml:space="preserve"> </v>
      </c>
      <c r="N152" s="36" t="str">
        <f>IF(A152&lt;0,'CAR PROMAX FILIAL CRUZ'!R146," ")</f>
        <v xml:space="preserve"> </v>
      </c>
      <c r="O152" s="37" t="str">
        <f>IF(A152&lt;0,'CAR PROMAX FILIAL CRUZ'!S146," ")</f>
        <v xml:space="preserve"> </v>
      </c>
      <c r="P152" s="37" t="str">
        <f>IF(A152&lt;0,'CAR PROMAX FILIAL CRUZ'!T146," ")</f>
        <v xml:space="preserve"> </v>
      </c>
      <c r="Q152" s="37" t="str">
        <f>IF(A152&lt;0,'CAR PROMAX FILIAL CRUZ'!U146," ")</f>
        <v xml:space="preserve"> </v>
      </c>
      <c r="R152" s="34" t="str">
        <f>IF(A152&lt;0,'CAR PROMAX FILIAL CRUZ'!V146," ")</f>
        <v xml:space="preserve"> </v>
      </c>
    </row>
    <row r="153" spans="1:18" x14ac:dyDescent="0.25">
      <c r="A153">
        <f>'CAR PROMAX FILIAL CRUZ'!O147</f>
        <v>6</v>
      </c>
      <c r="B153" s="33" t="str">
        <f t="shared" si="7"/>
        <v xml:space="preserve"> </v>
      </c>
      <c r="C153" s="33" t="str">
        <f t="shared" si="6"/>
        <v xml:space="preserve"> </v>
      </c>
      <c r="D153" s="34" t="str">
        <f>IF(A153&lt;0,'CAR PROMAX FILIAL CRUZ'!B147," ")</f>
        <v xml:space="preserve"> </v>
      </c>
      <c r="E153" s="35" t="str">
        <f>IF(A153&lt;0,'CAR PROMAX FILIAL CRUZ'!C147," ")</f>
        <v xml:space="preserve"> </v>
      </c>
      <c r="F153" s="34" t="str">
        <f>IF(A153&lt;0,'CAR PROMAX FILIAL CRUZ'!D147," ")</f>
        <v xml:space="preserve"> </v>
      </c>
      <c r="G153" s="34" t="str">
        <f>IF(A153&lt;0,'CAR PROMAX FILIAL CRUZ'!E147," ")</f>
        <v xml:space="preserve"> </v>
      </c>
      <c r="H153" s="34" t="str">
        <f>IF(A153&lt;0,'CAR PROMAX FILIAL CRUZ'!J147," ")</f>
        <v xml:space="preserve"> </v>
      </c>
      <c r="I153" s="34"/>
      <c r="J153" s="34"/>
      <c r="K153" s="34" t="str">
        <f>IF(A153&lt;0,'CAR PROMAX FILIAL CRUZ'!O147," ")</f>
        <v xml:space="preserve"> </v>
      </c>
      <c r="L153" s="36" t="str">
        <f>IF(A153&lt;0,'CAR PROMAX FILIAL CRUZ'!P147," ")</f>
        <v xml:space="preserve"> </v>
      </c>
      <c r="M153" s="36" t="str">
        <f>IF(A153&lt;0,'CAR PROMAX FILIAL CRUZ'!Q147," ")</f>
        <v xml:space="preserve"> </v>
      </c>
      <c r="N153" s="36" t="str">
        <f>IF(A153&lt;0,'CAR PROMAX FILIAL CRUZ'!R147," ")</f>
        <v xml:space="preserve"> </v>
      </c>
      <c r="O153" s="37" t="str">
        <f>IF(A153&lt;0,'CAR PROMAX FILIAL CRUZ'!S147," ")</f>
        <v xml:space="preserve"> </v>
      </c>
      <c r="P153" s="37" t="str">
        <f>IF(A153&lt;0,'CAR PROMAX FILIAL CRUZ'!T147," ")</f>
        <v xml:space="preserve"> </v>
      </c>
      <c r="Q153" s="37" t="str">
        <f>IF(A153&lt;0,'CAR PROMAX FILIAL CRUZ'!U147," ")</f>
        <v xml:space="preserve"> </v>
      </c>
      <c r="R153" s="34" t="str">
        <f>IF(A153&lt;0,'CAR PROMAX FILIAL CRUZ'!V147," ")</f>
        <v xml:space="preserve"> </v>
      </c>
    </row>
    <row r="154" spans="1:18" x14ac:dyDescent="0.25">
      <c r="A154">
        <f>'CAR PROMAX FILIAL CRUZ'!O148</f>
        <v>6</v>
      </c>
      <c r="B154" s="33" t="str">
        <f t="shared" si="7"/>
        <v xml:space="preserve"> </v>
      </c>
      <c r="C154" s="33" t="str">
        <f t="shared" si="6"/>
        <v xml:space="preserve"> </v>
      </c>
      <c r="D154" s="34" t="str">
        <f>IF(A154&lt;0,'CAR PROMAX FILIAL CRUZ'!B148," ")</f>
        <v xml:space="preserve"> </v>
      </c>
      <c r="E154" s="35" t="str">
        <f>IF(A154&lt;0,'CAR PROMAX FILIAL CRUZ'!C148," ")</f>
        <v xml:space="preserve"> </v>
      </c>
      <c r="F154" s="34" t="str">
        <f>IF(A154&lt;0,'CAR PROMAX FILIAL CRUZ'!D148," ")</f>
        <v xml:space="preserve"> </v>
      </c>
      <c r="G154" s="34" t="str">
        <f>IF(A154&lt;0,'CAR PROMAX FILIAL CRUZ'!E148," ")</f>
        <v xml:space="preserve"> </v>
      </c>
      <c r="H154" s="34" t="str">
        <f>IF(A154&lt;0,'CAR PROMAX FILIAL CRUZ'!J148," ")</f>
        <v xml:space="preserve"> </v>
      </c>
      <c r="I154" s="34"/>
      <c r="J154" s="34"/>
      <c r="K154" s="34" t="str">
        <f>IF(A154&lt;0,'CAR PROMAX FILIAL CRUZ'!O148," ")</f>
        <v xml:space="preserve"> </v>
      </c>
      <c r="L154" s="36" t="str">
        <f>IF(A154&lt;0,'CAR PROMAX FILIAL CRUZ'!P148," ")</f>
        <v xml:space="preserve"> </v>
      </c>
      <c r="M154" s="36" t="str">
        <f>IF(A154&lt;0,'CAR PROMAX FILIAL CRUZ'!Q148," ")</f>
        <v xml:space="preserve"> </v>
      </c>
      <c r="N154" s="36" t="str">
        <f>IF(A154&lt;0,'CAR PROMAX FILIAL CRUZ'!R148," ")</f>
        <v xml:space="preserve"> </v>
      </c>
      <c r="O154" s="37" t="str">
        <f>IF(A154&lt;0,'CAR PROMAX FILIAL CRUZ'!S148," ")</f>
        <v xml:space="preserve"> </v>
      </c>
      <c r="P154" s="37" t="str">
        <f>IF(A154&lt;0,'CAR PROMAX FILIAL CRUZ'!T148," ")</f>
        <v xml:space="preserve"> </v>
      </c>
      <c r="Q154" s="37" t="str">
        <f>IF(A154&lt;0,'CAR PROMAX FILIAL CRUZ'!U148," ")</f>
        <v xml:space="preserve"> </v>
      </c>
      <c r="R154" s="34" t="str">
        <f>IF(A154&lt;0,'CAR PROMAX FILIAL CRUZ'!V148," ")</f>
        <v xml:space="preserve"> </v>
      </c>
    </row>
    <row r="155" spans="1:18" x14ac:dyDescent="0.25">
      <c r="A155">
        <f>'CAR PROMAX FILIAL CRUZ'!O149</f>
        <v>6</v>
      </c>
      <c r="B155" s="33" t="str">
        <f t="shared" si="7"/>
        <v xml:space="preserve"> </v>
      </c>
      <c r="C155" s="33" t="str">
        <f t="shared" si="6"/>
        <v xml:space="preserve"> </v>
      </c>
      <c r="D155" s="34" t="str">
        <f>IF(A155&lt;0,'CAR PROMAX FILIAL CRUZ'!B149," ")</f>
        <v xml:space="preserve"> </v>
      </c>
      <c r="E155" s="35" t="str">
        <f>IF(A155&lt;0,'CAR PROMAX FILIAL CRUZ'!C149," ")</f>
        <v xml:space="preserve"> </v>
      </c>
      <c r="F155" s="34" t="str">
        <f>IF(A155&lt;0,'CAR PROMAX FILIAL CRUZ'!D149," ")</f>
        <v xml:space="preserve"> </v>
      </c>
      <c r="G155" s="34" t="str">
        <f>IF(A155&lt;0,'CAR PROMAX FILIAL CRUZ'!E149," ")</f>
        <v xml:space="preserve"> </v>
      </c>
      <c r="H155" s="34" t="str">
        <f>IF(A155&lt;0,'CAR PROMAX FILIAL CRUZ'!J149," ")</f>
        <v xml:space="preserve"> </v>
      </c>
      <c r="I155" s="34"/>
      <c r="J155" s="34"/>
      <c r="K155" s="34" t="str">
        <f>IF(A155&lt;0,'CAR PROMAX FILIAL CRUZ'!O149," ")</f>
        <v xml:space="preserve"> </v>
      </c>
      <c r="L155" s="36" t="str">
        <f>IF(A155&lt;0,'CAR PROMAX FILIAL CRUZ'!P149," ")</f>
        <v xml:space="preserve"> </v>
      </c>
      <c r="M155" s="36" t="str">
        <f>IF(A155&lt;0,'CAR PROMAX FILIAL CRUZ'!Q149," ")</f>
        <v xml:space="preserve"> </v>
      </c>
      <c r="N155" s="36" t="str">
        <f>IF(A155&lt;0,'CAR PROMAX FILIAL CRUZ'!R149," ")</f>
        <v xml:space="preserve"> </v>
      </c>
      <c r="O155" s="37" t="str">
        <f>IF(A155&lt;0,'CAR PROMAX FILIAL CRUZ'!S149," ")</f>
        <v xml:space="preserve"> </v>
      </c>
      <c r="P155" s="37" t="str">
        <f>IF(A155&lt;0,'CAR PROMAX FILIAL CRUZ'!T149," ")</f>
        <v xml:space="preserve"> </v>
      </c>
      <c r="Q155" s="37" t="str">
        <f>IF(A155&lt;0,'CAR PROMAX FILIAL CRUZ'!U149," ")</f>
        <v xml:space="preserve"> </v>
      </c>
      <c r="R155" s="34" t="str">
        <f>IF(A155&lt;0,'CAR PROMAX FILIAL CRUZ'!V149," ")</f>
        <v xml:space="preserve"> </v>
      </c>
    </row>
    <row r="156" spans="1:18" x14ac:dyDescent="0.25">
      <c r="A156">
        <f>'CAR PROMAX FILIAL CRUZ'!O150</f>
        <v>6</v>
      </c>
      <c r="B156" s="33" t="str">
        <f t="shared" si="7"/>
        <v xml:space="preserve"> </v>
      </c>
      <c r="C156" s="33" t="str">
        <f t="shared" si="6"/>
        <v xml:space="preserve"> </v>
      </c>
      <c r="D156" s="34" t="str">
        <f>IF(A156&lt;0,'CAR PROMAX FILIAL CRUZ'!B150," ")</f>
        <v xml:space="preserve"> </v>
      </c>
      <c r="E156" s="35" t="str">
        <f>IF(A156&lt;0,'CAR PROMAX FILIAL CRUZ'!C150," ")</f>
        <v xml:space="preserve"> </v>
      </c>
      <c r="F156" s="34" t="str">
        <f>IF(A156&lt;0,'CAR PROMAX FILIAL CRUZ'!D150," ")</f>
        <v xml:space="preserve"> </v>
      </c>
      <c r="G156" s="34" t="str">
        <f>IF(A156&lt;0,'CAR PROMAX FILIAL CRUZ'!E150," ")</f>
        <v xml:space="preserve"> </v>
      </c>
      <c r="H156" s="34" t="str">
        <f>IF(A156&lt;0,'CAR PROMAX FILIAL CRUZ'!J150," ")</f>
        <v xml:space="preserve"> </v>
      </c>
      <c r="I156" s="34"/>
      <c r="J156" s="34"/>
      <c r="K156" s="34" t="str">
        <f>IF(A156&lt;0,'CAR PROMAX FILIAL CRUZ'!O150," ")</f>
        <v xml:space="preserve"> </v>
      </c>
      <c r="L156" s="36" t="str">
        <f>IF(A156&lt;0,'CAR PROMAX FILIAL CRUZ'!P150," ")</f>
        <v xml:space="preserve"> </v>
      </c>
      <c r="M156" s="36" t="str">
        <f>IF(A156&lt;0,'CAR PROMAX FILIAL CRUZ'!Q150," ")</f>
        <v xml:space="preserve"> </v>
      </c>
      <c r="N156" s="36" t="str">
        <f>IF(A156&lt;0,'CAR PROMAX FILIAL CRUZ'!R150," ")</f>
        <v xml:space="preserve"> </v>
      </c>
      <c r="O156" s="37" t="str">
        <f>IF(A156&lt;0,'CAR PROMAX FILIAL CRUZ'!S150," ")</f>
        <v xml:space="preserve"> </v>
      </c>
      <c r="P156" s="37" t="str">
        <f>IF(A156&lt;0,'CAR PROMAX FILIAL CRUZ'!T150," ")</f>
        <v xml:space="preserve"> </v>
      </c>
      <c r="Q156" s="37" t="str">
        <f>IF(A156&lt;0,'CAR PROMAX FILIAL CRUZ'!U150," ")</f>
        <v xml:space="preserve"> </v>
      </c>
      <c r="R156" s="34" t="str">
        <f>IF(A156&lt;0,'CAR PROMAX FILIAL CRUZ'!V150," ")</f>
        <v xml:space="preserve"> </v>
      </c>
    </row>
    <row r="157" spans="1:18" x14ac:dyDescent="0.25">
      <c r="A157">
        <f>'CAR PROMAX FILIAL CRUZ'!O151</f>
        <v>6</v>
      </c>
      <c r="B157" s="33" t="str">
        <f t="shared" si="7"/>
        <v xml:space="preserve"> </v>
      </c>
      <c r="C157" s="33" t="str">
        <f t="shared" si="6"/>
        <v xml:space="preserve"> </v>
      </c>
      <c r="D157" s="34" t="str">
        <f>IF(A157&lt;0,'CAR PROMAX FILIAL CRUZ'!B151," ")</f>
        <v xml:space="preserve"> </v>
      </c>
      <c r="E157" s="35" t="str">
        <f>IF(A157&lt;0,'CAR PROMAX FILIAL CRUZ'!C151," ")</f>
        <v xml:space="preserve"> </v>
      </c>
      <c r="F157" s="34" t="str">
        <f>IF(A157&lt;0,'CAR PROMAX FILIAL CRUZ'!D151," ")</f>
        <v xml:space="preserve"> </v>
      </c>
      <c r="G157" s="34" t="str">
        <f>IF(A157&lt;0,'CAR PROMAX FILIAL CRUZ'!E151," ")</f>
        <v xml:space="preserve"> </v>
      </c>
      <c r="H157" s="34" t="str">
        <f>IF(A157&lt;0,'CAR PROMAX FILIAL CRUZ'!J151," ")</f>
        <v xml:space="preserve"> </v>
      </c>
      <c r="I157" s="34"/>
      <c r="J157" s="34"/>
      <c r="K157" s="34" t="str">
        <f>IF(A157&lt;0,'CAR PROMAX FILIAL CRUZ'!O151," ")</f>
        <v xml:space="preserve"> </v>
      </c>
      <c r="L157" s="36" t="str">
        <f>IF(A157&lt;0,'CAR PROMAX FILIAL CRUZ'!P151," ")</f>
        <v xml:space="preserve"> </v>
      </c>
      <c r="M157" s="36" t="str">
        <f>IF(A157&lt;0,'CAR PROMAX FILIAL CRUZ'!Q151," ")</f>
        <v xml:space="preserve"> </v>
      </c>
      <c r="N157" s="36" t="str">
        <f>IF(A157&lt;0,'CAR PROMAX FILIAL CRUZ'!R151," ")</f>
        <v xml:space="preserve"> </v>
      </c>
      <c r="O157" s="37" t="str">
        <f>IF(A157&lt;0,'CAR PROMAX FILIAL CRUZ'!S151," ")</f>
        <v xml:space="preserve"> </v>
      </c>
      <c r="P157" s="37" t="str">
        <f>IF(A157&lt;0,'CAR PROMAX FILIAL CRUZ'!T151," ")</f>
        <v xml:space="preserve"> </v>
      </c>
      <c r="Q157" s="37" t="str">
        <f>IF(A157&lt;0,'CAR PROMAX FILIAL CRUZ'!U151," ")</f>
        <v xml:space="preserve"> </v>
      </c>
      <c r="R157" s="34" t="str">
        <f>IF(A157&lt;0,'CAR PROMAX FILIAL CRUZ'!V151," ")</f>
        <v xml:space="preserve"> </v>
      </c>
    </row>
    <row r="158" spans="1:18" x14ac:dyDescent="0.25">
      <c r="A158">
        <f>'CAR PROMAX FILIAL CRUZ'!O152</f>
        <v>6</v>
      </c>
      <c r="B158" s="33" t="str">
        <f t="shared" si="7"/>
        <v xml:space="preserve"> </v>
      </c>
      <c r="C158" s="33" t="str">
        <f t="shared" si="6"/>
        <v xml:space="preserve"> </v>
      </c>
      <c r="D158" s="34" t="str">
        <f>IF(A158&lt;0,'CAR PROMAX FILIAL CRUZ'!B152," ")</f>
        <v xml:space="preserve"> </v>
      </c>
      <c r="E158" s="35" t="str">
        <f>IF(A158&lt;0,'CAR PROMAX FILIAL CRUZ'!C152," ")</f>
        <v xml:space="preserve"> </v>
      </c>
      <c r="F158" s="34" t="str">
        <f>IF(A158&lt;0,'CAR PROMAX FILIAL CRUZ'!D152," ")</f>
        <v xml:space="preserve"> </v>
      </c>
      <c r="G158" s="34" t="str">
        <f>IF(A158&lt;0,'CAR PROMAX FILIAL CRUZ'!E152," ")</f>
        <v xml:space="preserve"> </v>
      </c>
      <c r="H158" s="34" t="str">
        <f>IF(A158&lt;0,'CAR PROMAX FILIAL CRUZ'!J152," ")</f>
        <v xml:space="preserve"> </v>
      </c>
      <c r="I158" s="34"/>
      <c r="J158" s="34"/>
      <c r="K158" s="34" t="str">
        <f>IF(A158&lt;0,'CAR PROMAX FILIAL CRUZ'!O152," ")</f>
        <v xml:space="preserve"> </v>
      </c>
      <c r="L158" s="36" t="str">
        <f>IF(A158&lt;0,'CAR PROMAX FILIAL CRUZ'!P152," ")</f>
        <v xml:space="preserve"> </v>
      </c>
      <c r="M158" s="36" t="str">
        <f>IF(A158&lt;0,'CAR PROMAX FILIAL CRUZ'!Q152," ")</f>
        <v xml:space="preserve"> </v>
      </c>
      <c r="N158" s="36" t="str">
        <f>IF(A158&lt;0,'CAR PROMAX FILIAL CRUZ'!R152," ")</f>
        <v xml:space="preserve"> </v>
      </c>
      <c r="O158" s="37" t="str">
        <f>IF(A158&lt;0,'CAR PROMAX FILIAL CRUZ'!S152," ")</f>
        <v xml:space="preserve"> </v>
      </c>
      <c r="P158" s="37" t="str">
        <f>IF(A158&lt;0,'CAR PROMAX FILIAL CRUZ'!T152," ")</f>
        <v xml:space="preserve"> </v>
      </c>
      <c r="Q158" s="37" t="str">
        <f>IF(A158&lt;0,'CAR PROMAX FILIAL CRUZ'!U152," ")</f>
        <v xml:space="preserve"> </v>
      </c>
      <c r="R158" s="34" t="str">
        <f>IF(A158&lt;0,'CAR PROMAX FILIAL CRUZ'!V152," ")</f>
        <v xml:space="preserve"> </v>
      </c>
    </row>
    <row r="159" spans="1:18" x14ac:dyDescent="0.25">
      <c r="A159">
        <f>'CAR PROMAX FILIAL CRUZ'!O153</f>
        <v>6</v>
      </c>
      <c r="B159" s="33" t="str">
        <f t="shared" si="7"/>
        <v xml:space="preserve"> </v>
      </c>
      <c r="C159" s="33" t="str">
        <f t="shared" si="6"/>
        <v xml:space="preserve"> </v>
      </c>
      <c r="D159" s="34" t="str">
        <f>IF(A159&lt;0,'CAR PROMAX FILIAL CRUZ'!B153," ")</f>
        <v xml:space="preserve"> </v>
      </c>
      <c r="E159" s="35" t="str">
        <f>IF(A159&lt;0,'CAR PROMAX FILIAL CRUZ'!C153," ")</f>
        <v xml:space="preserve"> </v>
      </c>
      <c r="F159" s="34" t="str">
        <f>IF(A159&lt;0,'CAR PROMAX FILIAL CRUZ'!D153," ")</f>
        <v xml:space="preserve"> </v>
      </c>
      <c r="G159" s="34" t="str">
        <f>IF(A159&lt;0,'CAR PROMAX FILIAL CRUZ'!E153," ")</f>
        <v xml:space="preserve"> </v>
      </c>
      <c r="H159" s="34" t="str">
        <f>IF(A159&lt;0,'CAR PROMAX FILIAL CRUZ'!J153," ")</f>
        <v xml:space="preserve"> </v>
      </c>
      <c r="I159" s="34"/>
      <c r="J159" s="34"/>
      <c r="K159" s="34" t="str">
        <f>IF(A159&lt;0,'CAR PROMAX FILIAL CRUZ'!O153," ")</f>
        <v xml:space="preserve"> </v>
      </c>
      <c r="L159" s="36" t="str">
        <f>IF(A159&lt;0,'CAR PROMAX FILIAL CRUZ'!P153," ")</f>
        <v xml:space="preserve"> </v>
      </c>
      <c r="M159" s="36" t="str">
        <f>IF(A159&lt;0,'CAR PROMAX FILIAL CRUZ'!Q153," ")</f>
        <v xml:space="preserve"> </v>
      </c>
      <c r="N159" s="36" t="str">
        <f>IF(A159&lt;0,'CAR PROMAX FILIAL CRUZ'!R153," ")</f>
        <v xml:space="preserve"> </v>
      </c>
      <c r="O159" s="37" t="str">
        <f>IF(A159&lt;0,'CAR PROMAX FILIAL CRUZ'!S153," ")</f>
        <v xml:space="preserve"> </v>
      </c>
      <c r="P159" s="37" t="str">
        <f>IF(A159&lt;0,'CAR PROMAX FILIAL CRUZ'!T153," ")</f>
        <v xml:space="preserve"> </v>
      </c>
      <c r="Q159" s="37" t="str">
        <f>IF(A159&lt;0,'CAR PROMAX FILIAL CRUZ'!U153," ")</f>
        <v xml:space="preserve"> </v>
      </c>
      <c r="R159" s="34" t="str">
        <f>IF(A159&lt;0,'CAR PROMAX FILIAL CRUZ'!V153," ")</f>
        <v xml:space="preserve"> </v>
      </c>
    </row>
    <row r="160" spans="1:18" x14ac:dyDescent="0.25">
      <c r="A160">
        <f>'CAR PROMAX FILIAL CRUZ'!O154</f>
        <v>6</v>
      </c>
      <c r="B160" s="33" t="str">
        <f t="shared" si="7"/>
        <v xml:space="preserve"> </v>
      </c>
      <c r="C160" s="33" t="str">
        <f t="shared" si="6"/>
        <v xml:space="preserve"> </v>
      </c>
      <c r="D160" s="34" t="str">
        <f>IF(A160&lt;0,'CAR PROMAX FILIAL CRUZ'!B154," ")</f>
        <v xml:space="preserve"> </v>
      </c>
      <c r="E160" s="35" t="str">
        <f>IF(A160&lt;0,'CAR PROMAX FILIAL CRUZ'!C154," ")</f>
        <v xml:space="preserve"> </v>
      </c>
      <c r="F160" s="34" t="str">
        <f>IF(A160&lt;0,'CAR PROMAX FILIAL CRUZ'!D154," ")</f>
        <v xml:space="preserve"> </v>
      </c>
      <c r="G160" s="34" t="str">
        <f>IF(A160&lt;0,'CAR PROMAX FILIAL CRUZ'!E154," ")</f>
        <v xml:space="preserve"> </v>
      </c>
      <c r="H160" s="34" t="str">
        <f>IF(A160&lt;0,'CAR PROMAX FILIAL CRUZ'!J154," ")</f>
        <v xml:space="preserve"> </v>
      </c>
      <c r="I160" s="34"/>
      <c r="J160" s="34"/>
      <c r="K160" s="34" t="str">
        <f>IF(A160&lt;0,'CAR PROMAX FILIAL CRUZ'!O154," ")</f>
        <v xml:space="preserve"> </v>
      </c>
      <c r="L160" s="36" t="str">
        <f>IF(A160&lt;0,'CAR PROMAX FILIAL CRUZ'!P154," ")</f>
        <v xml:space="preserve"> </v>
      </c>
      <c r="M160" s="36" t="str">
        <f>IF(A160&lt;0,'CAR PROMAX FILIAL CRUZ'!Q154," ")</f>
        <v xml:space="preserve"> </v>
      </c>
      <c r="N160" s="36" t="str">
        <f>IF(A160&lt;0,'CAR PROMAX FILIAL CRUZ'!R154," ")</f>
        <v xml:space="preserve"> </v>
      </c>
      <c r="O160" s="37" t="str">
        <f>IF(A160&lt;0,'CAR PROMAX FILIAL CRUZ'!S154," ")</f>
        <v xml:space="preserve"> </v>
      </c>
      <c r="P160" s="37" t="str">
        <f>IF(A160&lt;0,'CAR PROMAX FILIAL CRUZ'!T154," ")</f>
        <v xml:space="preserve"> </v>
      </c>
      <c r="Q160" s="37" t="str">
        <f>IF(A160&lt;0,'CAR PROMAX FILIAL CRUZ'!U154," ")</f>
        <v xml:space="preserve"> </v>
      </c>
      <c r="R160" s="34" t="str">
        <f>IF(A160&lt;0,'CAR PROMAX FILIAL CRUZ'!V154," ")</f>
        <v xml:space="preserve"> </v>
      </c>
    </row>
    <row r="161" spans="1:18" x14ac:dyDescent="0.25">
      <c r="A161">
        <f>'CAR PROMAX FILIAL CRUZ'!O155</f>
        <v>6</v>
      </c>
      <c r="B161" s="33" t="str">
        <f t="shared" si="7"/>
        <v xml:space="preserve"> </v>
      </c>
      <c r="C161" s="33" t="str">
        <f t="shared" si="6"/>
        <v xml:space="preserve"> </v>
      </c>
      <c r="D161" s="34" t="str">
        <f>IF(A161&lt;0,'CAR PROMAX FILIAL CRUZ'!B155," ")</f>
        <v xml:space="preserve"> </v>
      </c>
      <c r="E161" s="35" t="str">
        <f>IF(A161&lt;0,'CAR PROMAX FILIAL CRUZ'!C155," ")</f>
        <v xml:space="preserve"> </v>
      </c>
      <c r="F161" s="34" t="str">
        <f>IF(A161&lt;0,'CAR PROMAX FILIAL CRUZ'!D155," ")</f>
        <v xml:space="preserve"> </v>
      </c>
      <c r="G161" s="34" t="str">
        <f>IF(A161&lt;0,'CAR PROMAX FILIAL CRUZ'!E155," ")</f>
        <v xml:space="preserve"> </v>
      </c>
      <c r="H161" s="34" t="str">
        <f>IF(A161&lt;0,'CAR PROMAX FILIAL CRUZ'!J155," ")</f>
        <v xml:space="preserve"> </v>
      </c>
      <c r="I161" s="34"/>
      <c r="J161" s="34"/>
      <c r="K161" s="34" t="str">
        <f>IF(A161&lt;0,'CAR PROMAX FILIAL CRUZ'!O155," ")</f>
        <v xml:space="preserve"> </v>
      </c>
      <c r="L161" s="36" t="str">
        <f>IF(A161&lt;0,'CAR PROMAX FILIAL CRUZ'!P155," ")</f>
        <v xml:space="preserve"> </v>
      </c>
      <c r="M161" s="36" t="str">
        <f>IF(A161&lt;0,'CAR PROMAX FILIAL CRUZ'!Q155," ")</f>
        <v xml:space="preserve"> </v>
      </c>
      <c r="N161" s="36" t="str">
        <f>IF(A161&lt;0,'CAR PROMAX FILIAL CRUZ'!R155," ")</f>
        <v xml:space="preserve"> </v>
      </c>
      <c r="O161" s="37" t="str">
        <f>IF(A161&lt;0,'CAR PROMAX FILIAL CRUZ'!S155," ")</f>
        <v xml:space="preserve"> </v>
      </c>
      <c r="P161" s="37" t="str">
        <f>IF(A161&lt;0,'CAR PROMAX FILIAL CRUZ'!T155," ")</f>
        <v xml:space="preserve"> </v>
      </c>
      <c r="Q161" s="37" t="str">
        <f>IF(A161&lt;0,'CAR PROMAX FILIAL CRUZ'!U155," ")</f>
        <v xml:space="preserve"> </v>
      </c>
      <c r="R161" s="34" t="str">
        <f>IF(A161&lt;0,'CAR PROMAX FILIAL CRUZ'!V155," ")</f>
        <v xml:space="preserve"> </v>
      </c>
    </row>
    <row r="162" spans="1:18" x14ac:dyDescent="0.25">
      <c r="A162">
        <f>'CAR PROMAX FILIAL CRUZ'!O156</f>
        <v>6</v>
      </c>
      <c r="B162" s="33" t="str">
        <f t="shared" si="7"/>
        <v xml:space="preserve"> </v>
      </c>
      <c r="C162" s="33" t="str">
        <f t="shared" si="6"/>
        <v xml:space="preserve"> </v>
      </c>
      <c r="D162" s="34" t="str">
        <f>IF(A162&lt;0,'CAR PROMAX FILIAL CRUZ'!B156," ")</f>
        <v xml:space="preserve"> </v>
      </c>
      <c r="E162" s="35" t="str">
        <f>IF(A162&lt;0,'CAR PROMAX FILIAL CRUZ'!C156," ")</f>
        <v xml:space="preserve"> </v>
      </c>
      <c r="F162" s="34" t="str">
        <f>IF(A162&lt;0,'CAR PROMAX FILIAL CRUZ'!D156," ")</f>
        <v xml:space="preserve"> </v>
      </c>
      <c r="G162" s="34" t="str">
        <f>IF(A162&lt;0,'CAR PROMAX FILIAL CRUZ'!E156," ")</f>
        <v xml:space="preserve"> </v>
      </c>
      <c r="H162" s="34" t="str">
        <f>IF(A162&lt;0,'CAR PROMAX FILIAL CRUZ'!J156," ")</f>
        <v xml:space="preserve"> </v>
      </c>
      <c r="I162" s="34"/>
      <c r="J162" s="34"/>
      <c r="K162" s="34" t="str">
        <f>IF(A162&lt;0,'CAR PROMAX FILIAL CRUZ'!O156," ")</f>
        <v xml:space="preserve"> </v>
      </c>
      <c r="L162" s="36" t="str">
        <f>IF(A162&lt;0,'CAR PROMAX FILIAL CRUZ'!P156," ")</f>
        <v xml:space="preserve"> </v>
      </c>
      <c r="M162" s="36" t="str">
        <f>IF(A162&lt;0,'CAR PROMAX FILIAL CRUZ'!Q156," ")</f>
        <v xml:space="preserve"> </v>
      </c>
      <c r="N162" s="36" t="str">
        <f>IF(A162&lt;0,'CAR PROMAX FILIAL CRUZ'!R156," ")</f>
        <v xml:space="preserve"> </v>
      </c>
      <c r="O162" s="37" t="str">
        <f>IF(A162&lt;0,'CAR PROMAX FILIAL CRUZ'!S156," ")</f>
        <v xml:space="preserve"> </v>
      </c>
      <c r="P162" s="37" t="str">
        <f>IF(A162&lt;0,'CAR PROMAX FILIAL CRUZ'!T156," ")</f>
        <v xml:space="preserve"> </v>
      </c>
      <c r="Q162" s="37" t="str">
        <f>IF(A162&lt;0,'CAR PROMAX FILIAL CRUZ'!U156," ")</f>
        <v xml:space="preserve"> </v>
      </c>
      <c r="R162" s="34" t="str">
        <f>IF(A162&lt;0,'CAR PROMAX FILIAL CRUZ'!V156," ")</f>
        <v xml:space="preserve"> </v>
      </c>
    </row>
    <row r="163" spans="1:18" x14ac:dyDescent="0.25">
      <c r="A163">
        <f>'CAR PROMAX FILIAL CRUZ'!O157</f>
        <v>6</v>
      </c>
      <c r="B163" s="33" t="str">
        <f t="shared" si="7"/>
        <v xml:space="preserve"> </v>
      </c>
      <c r="C163" s="33" t="str">
        <f t="shared" si="6"/>
        <v xml:space="preserve"> </v>
      </c>
      <c r="D163" s="34" t="str">
        <f>IF(A163&lt;0,'CAR PROMAX FILIAL CRUZ'!B157," ")</f>
        <v xml:space="preserve"> </v>
      </c>
      <c r="E163" s="35" t="str">
        <f>IF(A163&lt;0,'CAR PROMAX FILIAL CRUZ'!C157," ")</f>
        <v xml:space="preserve"> </v>
      </c>
      <c r="F163" s="34" t="str">
        <f>IF(A163&lt;0,'CAR PROMAX FILIAL CRUZ'!D157," ")</f>
        <v xml:space="preserve"> </v>
      </c>
      <c r="G163" s="34" t="str">
        <f>IF(A163&lt;0,'CAR PROMAX FILIAL CRUZ'!E157," ")</f>
        <v xml:space="preserve"> </v>
      </c>
      <c r="H163" s="34" t="str">
        <f>IF(A163&lt;0,'CAR PROMAX FILIAL CRUZ'!J157," ")</f>
        <v xml:space="preserve"> </v>
      </c>
      <c r="I163" s="34"/>
      <c r="J163" s="34"/>
      <c r="K163" s="34" t="str">
        <f>IF(A163&lt;0,'CAR PROMAX FILIAL CRUZ'!O157," ")</f>
        <v xml:space="preserve"> </v>
      </c>
      <c r="L163" s="36" t="str">
        <f>IF(A163&lt;0,'CAR PROMAX FILIAL CRUZ'!P157," ")</f>
        <v xml:space="preserve"> </v>
      </c>
      <c r="M163" s="36" t="str">
        <f>IF(A163&lt;0,'CAR PROMAX FILIAL CRUZ'!Q157," ")</f>
        <v xml:space="preserve"> </v>
      </c>
      <c r="N163" s="36" t="str">
        <f>IF(A163&lt;0,'CAR PROMAX FILIAL CRUZ'!R157," ")</f>
        <v xml:space="preserve"> </v>
      </c>
      <c r="O163" s="37" t="str">
        <f>IF(A163&lt;0,'CAR PROMAX FILIAL CRUZ'!S157," ")</f>
        <v xml:space="preserve"> </v>
      </c>
      <c r="P163" s="37" t="str">
        <f>IF(A163&lt;0,'CAR PROMAX FILIAL CRUZ'!T157," ")</f>
        <v xml:space="preserve"> </v>
      </c>
      <c r="Q163" s="37" t="str">
        <f>IF(A163&lt;0,'CAR PROMAX FILIAL CRUZ'!U157," ")</f>
        <v xml:space="preserve"> </v>
      </c>
      <c r="R163" s="34" t="str">
        <f>IF(A163&lt;0,'CAR PROMAX FILIAL CRUZ'!V157," ")</f>
        <v xml:space="preserve"> </v>
      </c>
    </row>
    <row r="164" spans="1:18" x14ac:dyDescent="0.25">
      <c r="A164">
        <f>'CAR PROMAX FILIAL CRUZ'!O158</f>
        <v>6</v>
      </c>
      <c r="B164" s="33" t="str">
        <f t="shared" si="7"/>
        <v xml:space="preserve"> </v>
      </c>
      <c r="C164" s="33" t="str">
        <f t="shared" si="6"/>
        <v xml:space="preserve"> </v>
      </c>
      <c r="D164" s="34" t="str">
        <f>IF(A164&lt;0,'CAR PROMAX FILIAL CRUZ'!B158," ")</f>
        <v xml:space="preserve"> </v>
      </c>
      <c r="E164" s="35" t="str">
        <f>IF(A164&lt;0,'CAR PROMAX FILIAL CRUZ'!C158," ")</f>
        <v xml:space="preserve"> </v>
      </c>
      <c r="F164" s="34" t="str">
        <f>IF(A164&lt;0,'CAR PROMAX FILIAL CRUZ'!D158," ")</f>
        <v xml:space="preserve"> </v>
      </c>
      <c r="G164" s="34" t="str">
        <f>IF(A164&lt;0,'CAR PROMAX FILIAL CRUZ'!E158," ")</f>
        <v xml:space="preserve"> </v>
      </c>
      <c r="H164" s="34" t="str">
        <f>IF(A164&lt;0,'CAR PROMAX FILIAL CRUZ'!J158," ")</f>
        <v xml:space="preserve"> </v>
      </c>
      <c r="I164" s="34"/>
      <c r="J164" s="34"/>
      <c r="K164" s="34" t="str">
        <f>IF(A164&lt;0,'CAR PROMAX FILIAL CRUZ'!O158," ")</f>
        <v xml:space="preserve"> </v>
      </c>
      <c r="L164" s="36" t="str">
        <f>IF(A164&lt;0,'CAR PROMAX FILIAL CRUZ'!P158," ")</f>
        <v xml:space="preserve"> </v>
      </c>
      <c r="M164" s="36" t="str">
        <f>IF(A164&lt;0,'CAR PROMAX FILIAL CRUZ'!Q158," ")</f>
        <v xml:space="preserve"> </v>
      </c>
      <c r="N164" s="36" t="str">
        <f>IF(A164&lt;0,'CAR PROMAX FILIAL CRUZ'!R158," ")</f>
        <v xml:space="preserve"> </v>
      </c>
      <c r="O164" s="37" t="str">
        <f>IF(A164&lt;0,'CAR PROMAX FILIAL CRUZ'!S158," ")</f>
        <v xml:space="preserve"> </v>
      </c>
      <c r="P164" s="37" t="str">
        <f>IF(A164&lt;0,'CAR PROMAX FILIAL CRUZ'!T158," ")</f>
        <v xml:space="preserve"> </v>
      </c>
      <c r="Q164" s="37" t="str">
        <f>IF(A164&lt;0,'CAR PROMAX FILIAL CRUZ'!U158," ")</f>
        <v xml:space="preserve"> </v>
      </c>
      <c r="R164" s="34" t="str">
        <f>IF(A164&lt;0,'CAR PROMAX FILIAL CRUZ'!V158," ")</f>
        <v xml:space="preserve"> </v>
      </c>
    </row>
    <row r="165" spans="1:18" x14ac:dyDescent="0.25">
      <c r="A165">
        <f>'CAR PROMAX FILIAL CRUZ'!O159</f>
        <v>14</v>
      </c>
      <c r="B165" s="33" t="str">
        <f t="shared" si="7"/>
        <v xml:space="preserve"> </v>
      </c>
      <c r="C165" s="33" t="str">
        <f t="shared" si="6"/>
        <v xml:space="preserve"> </v>
      </c>
      <c r="D165" s="34" t="str">
        <f>IF(A165&lt;0,'CAR PROMAX FILIAL CRUZ'!B159," ")</f>
        <v xml:space="preserve"> </v>
      </c>
      <c r="E165" s="35" t="str">
        <f>IF(A165&lt;0,'CAR PROMAX FILIAL CRUZ'!C159," ")</f>
        <v xml:space="preserve"> </v>
      </c>
      <c r="F165" s="34" t="str">
        <f>IF(A165&lt;0,'CAR PROMAX FILIAL CRUZ'!D159," ")</f>
        <v xml:space="preserve"> </v>
      </c>
      <c r="G165" s="34" t="str">
        <f>IF(A165&lt;0,'CAR PROMAX FILIAL CRUZ'!E159," ")</f>
        <v xml:space="preserve"> </v>
      </c>
      <c r="H165" s="34" t="str">
        <f>IF(A165&lt;0,'CAR PROMAX FILIAL CRUZ'!J159," ")</f>
        <v xml:space="preserve"> </v>
      </c>
      <c r="I165" s="34"/>
      <c r="J165" s="34"/>
      <c r="K165" s="34" t="str">
        <f>IF(A165&lt;0,'CAR PROMAX FILIAL CRUZ'!O159," ")</f>
        <v xml:space="preserve"> </v>
      </c>
      <c r="L165" s="36" t="str">
        <f>IF(A165&lt;0,'CAR PROMAX FILIAL CRUZ'!P159," ")</f>
        <v xml:space="preserve"> </v>
      </c>
      <c r="M165" s="36" t="str">
        <f>IF(A165&lt;0,'CAR PROMAX FILIAL CRUZ'!Q159," ")</f>
        <v xml:space="preserve"> </v>
      </c>
      <c r="N165" s="36" t="str">
        <f>IF(A165&lt;0,'CAR PROMAX FILIAL CRUZ'!R159," ")</f>
        <v xml:space="preserve"> </v>
      </c>
      <c r="O165" s="37" t="str">
        <f>IF(A165&lt;0,'CAR PROMAX FILIAL CRUZ'!S159," ")</f>
        <v xml:space="preserve"> </v>
      </c>
      <c r="P165" s="37" t="str">
        <f>IF(A165&lt;0,'CAR PROMAX FILIAL CRUZ'!T159," ")</f>
        <v xml:space="preserve"> </v>
      </c>
      <c r="Q165" s="37" t="str">
        <f>IF(A165&lt;0,'CAR PROMAX FILIAL CRUZ'!U159," ")</f>
        <v xml:space="preserve"> </v>
      </c>
      <c r="R165" s="34" t="str">
        <f>IF(A165&lt;0,'CAR PROMAX FILIAL CRUZ'!V159," ")</f>
        <v xml:space="preserve"> </v>
      </c>
    </row>
    <row r="166" spans="1:18" x14ac:dyDescent="0.25">
      <c r="A166">
        <f>'CAR PROMAX FILIAL CRUZ'!O160</f>
        <v>0</v>
      </c>
      <c r="B166" s="33" t="str">
        <f t="shared" si="7"/>
        <v xml:space="preserve"> </v>
      </c>
      <c r="C166" s="33" t="str">
        <f t="shared" si="6"/>
        <v xml:space="preserve"> </v>
      </c>
      <c r="D166" s="34" t="str">
        <f>IF(A166&lt;0,'CAR PROMAX FILIAL CRUZ'!B160," ")</f>
        <v xml:space="preserve"> </v>
      </c>
      <c r="E166" s="35" t="str">
        <f>IF(A166&lt;0,'CAR PROMAX FILIAL CRUZ'!C160," ")</f>
        <v xml:space="preserve"> </v>
      </c>
      <c r="F166" s="34" t="str">
        <f>IF(A166&lt;0,'CAR PROMAX FILIAL CRUZ'!D160," ")</f>
        <v xml:space="preserve"> </v>
      </c>
      <c r="G166" s="34" t="str">
        <f>IF(A166&lt;0,'CAR PROMAX FILIAL CRUZ'!E160," ")</f>
        <v xml:space="preserve"> </v>
      </c>
      <c r="H166" s="34" t="str">
        <f>IF(A166&lt;0,'CAR PROMAX FILIAL CRUZ'!J160," ")</f>
        <v xml:space="preserve"> </v>
      </c>
      <c r="I166" s="34"/>
      <c r="J166" s="34"/>
      <c r="K166" s="34" t="str">
        <f>IF(A166&lt;0,'CAR PROMAX FILIAL CRUZ'!O160," ")</f>
        <v xml:space="preserve"> </v>
      </c>
      <c r="L166" s="36" t="str">
        <f>IF(A166&lt;0,'CAR PROMAX FILIAL CRUZ'!P160," ")</f>
        <v xml:space="preserve"> </v>
      </c>
      <c r="M166" s="36" t="str">
        <f>IF(A166&lt;0,'CAR PROMAX FILIAL CRUZ'!Q160," ")</f>
        <v xml:space="preserve"> </v>
      </c>
      <c r="N166" s="36" t="str">
        <f>IF(A166&lt;0,'CAR PROMAX FILIAL CRUZ'!R160," ")</f>
        <v xml:space="preserve"> </v>
      </c>
      <c r="O166" s="37" t="str">
        <f>IF(A166&lt;0,'CAR PROMAX FILIAL CRUZ'!S160," ")</f>
        <v xml:space="preserve"> </v>
      </c>
      <c r="P166" s="37" t="str">
        <f>IF(A166&lt;0,'CAR PROMAX FILIAL CRUZ'!T160," ")</f>
        <v xml:space="preserve"> </v>
      </c>
      <c r="Q166" s="37" t="str">
        <f>IF(A166&lt;0,'CAR PROMAX FILIAL CRUZ'!U160," ")</f>
        <v xml:space="preserve"> </v>
      </c>
      <c r="R166" s="34" t="str">
        <f>IF(A166&lt;0,'CAR PROMAX FILIAL CRUZ'!V160," ")</f>
        <v xml:space="preserve"> </v>
      </c>
    </row>
    <row r="167" spans="1:18" x14ac:dyDescent="0.25">
      <c r="A167">
        <f>'CAR PROMAX FILIAL CRUZ'!O161</f>
        <v>0</v>
      </c>
      <c r="B167" s="33" t="str">
        <f t="shared" si="7"/>
        <v xml:space="preserve"> </v>
      </c>
      <c r="C167" s="33" t="str">
        <f t="shared" si="6"/>
        <v xml:space="preserve"> </v>
      </c>
      <c r="D167" s="34" t="str">
        <f>IF(A167&lt;0,'CAR PROMAX FILIAL CRUZ'!B161," ")</f>
        <v xml:space="preserve"> </v>
      </c>
      <c r="E167" s="35" t="str">
        <f>IF(A167&lt;0,'CAR PROMAX FILIAL CRUZ'!C161," ")</f>
        <v xml:space="preserve"> </v>
      </c>
      <c r="F167" s="34" t="str">
        <f>IF(A167&lt;0,'CAR PROMAX FILIAL CRUZ'!D161," ")</f>
        <v xml:space="preserve"> </v>
      </c>
      <c r="G167" s="34" t="str">
        <f>IF(A167&lt;0,'CAR PROMAX FILIAL CRUZ'!E161," ")</f>
        <v xml:space="preserve"> </v>
      </c>
      <c r="H167" s="34" t="str">
        <f>IF(A167&lt;0,'CAR PROMAX FILIAL CRUZ'!J161," ")</f>
        <v xml:space="preserve"> </v>
      </c>
      <c r="I167" s="34"/>
      <c r="J167" s="34"/>
      <c r="K167" s="34" t="str">
        <f>IF(A167&lt;0,'CAR PROMAX FILIAL CRUZ'!O161," ")</f>
        <v xml:space="preserve"> </v>
      </c>
      <c r="L167" s="36" t="str">
        <f>IF(A167&lt;0,'CAR PROMAX FILIAL CRUZ'!P161," ")</f>
        <v xml:space="preserve"> </v>
      </c>
      <c r="M167" s="36" t="str">
        <f>IF(A167&lt;0,'CAR PROMAX FILIAL CRUZ'!Q161," ")</f>
        <v xml:space="preserve"> </v>
      </c>
      <c r="N167" s="36" t="str">
        <f>IF(A167&lt;0,'CAR PROMAX FILIAL CRUZ'!R161," ")</f>
        <v xml:space="preserve"> </v>
      </c>
      <c r="O167" s="37" t="str">
        <f>IF(A167&lt;0,'CAR PROMAX FILIAL CRUZ'!S161," ")</f>
        <v xml:space="preserve"> </v>
      </c>
      <c r="P167" s="37" t="str">
        <f>IF(A167&lt;0,'CAR PROMAX FILIAL CRUZ'!T161," ")</f>
        <v xml:space="preserve"> </v>
      </c>
      <c r="Q167" s="37" t="str">
        <f>IF(A167&lt;0,'CAR PROMAX FILIAL CRUZ'!U161," ")</f>
        <v xml:space="preserve"> </v>
      </c>
      <c r="R167" s="34" t="str">
        <f>IF(A167&lt;0,'CAR PROMAX FILIAL CRUZ'!V161," ")</f>
        <v xml:space="preserve"> </v>
      </c>
    </row>
    <row r="168" spans="1:18" x14ac:dyDescent="0.25">
      <c r="A168">
        <f>'CAR PROMAX FILIAL CRUZ'!O162</f>
        <v>0</v>
      </c>
      <c r="B168" s="33" t="str">
        <f t="shared" si="7"/>
        <v xml:space="preserve"> </v>
      </c>
      <c r="C168" s="33" t="str">
        <f t="shared" si="6"/>
        <v xml:space="preserve"> </v>
      </c>
      <c r="D168" s="34" t="str">
        <f>IF(A168&lt;0,'CAR PROMAX FILIAL CRUZ'!B162," ")</f>
        <v xml:space="preserve"> </v>
      </c>
      <c r="E168" s="35" t="str">
        <f>IF(A168&lt;0,'CAR PROMAX FILIAL CRUZ'!C162," ")</f>
        <v xml:space="preserve"> </v>
      </c>
      <c r="F168" s="34" t="str">
        <f>IF(A168&lt;0,'CAR PROMAX FILIAL CRUZ'!D162," ")</f>
        <v xml:space="preserve"> </v>
      </c>
      <c r="G168" s="34" t="str">
        <f>IF(A168&lt;0,'CAR PROMAX FILIAL CRUZ'!E162," ")</f>
        <v xml:space="preserve"> </v>
      </c>
      <c r="H168" s="34" t="str">
        <f>IF(A168&lt;0,'CAR PROMAX FILIAL CRUZ'!J162," ")</f>
        <v xml:space="preserve"> </v>
      </c>
      <c r="I168" s="34"/>
      <c r="J168" s="34"/>
      <c r="K168" s="34" t="str">
        <f>IF(A168&lt;0,'CAR PROMAX FILIAL CRUZ'!O162," ")</f>
        <v xml:space="preserve"> </v>
      </c>
      <c r="L168" s="36" t="str">
        <f>IF(A168&lt;0,'CAR PROMAX FILIAL CRUZ'!P162," ")</f>
        <v xml:space="preserve"> </v>
      </c>
      <c r="M168" s="36" t="str">
        <f>IF(A168&lt;0,'CAR PROMAX FILIAL CRUZ'!Q162," ")</f>
        <v xml:space="preserve"> </v>
      </c>
      <c r="N168" s="36" t="str">
        <f>IF(A168&lt;0,'CAR PROMAX FILIAL CRUZ'!R162," ")</f>
        <v xml:space="preserve"> </v>
      </c>
      <c r="O168" s="37" t="str">
        <f>IF(A168&lt;0,'CAR PROMAX FILIAL CRUZ'!S162," ")</f>
        <v xml:space="preserve"> </v>
      </c>
      <c r="P168" s="37" t="str">
        <f>IF(A168&lt;0,'CAR PROMAX FILIAL CRUZ'!T162," ")</f>
        <v xml:space="preserve"> </v>
      </c>
      <c r="Q168" s="37" t="str">
        <f>IF(A168&lt;0,'CAR PROMAX FILIAL CRUZ'!U162," ")</f>
        <v xml:space="preserve"> </v>
      </c>
      <c r="R168" s="34" t="str">
        <f>IF(A168&lt;0,'CAR PROMAX FILIAL CRUZ'!V162," ")</f>
        <v xml:space="preserve"> </v>
      </c>
    </row>
    <row r="169" spans="1:18" x14ac:dyDescent="0.25">
      <c r="A169">
        <f>'CAR PROMAX FILIAL CRUZ'!O163</f>
        <v>0</v>
      </c>
      <c r="B169" s="33" t="str">
        <f t="shared" si="7"/>
        <v xml:space="preserve"> </v>
      </c>
      <c r="C169" s="33" t="str">
        <f t="shared" si="6"/>
        <v xml:space="preserve"> </v>
      </c>
      <c r="D169" s="34" t="str">
        <f>IF(A169&lt;0,'CAR PROMAX FILIAL CRUZ'!B163," ")</f>
        <v xml:space="preserve"> </v>
      </c>
      <c r="E169" s="35" t="str">
        <f>IF(A169&lt;0,'CAR PROMAX FILIAL CRUZ'!C163," ")</f>
        <v xml:space="preserve"> </v>
      </c>
      <c r="F169" s="34" t="str">
        <f>IF(A169&lt;0,'CAR PROMAX FILIAL CRUZ'!D163," ")</f>
        <v xml:space="preserve"> </v>
      </c>
      <c r="G169" s="34" t="str">
        <f>IF(A169&lt;0,'CAR PROMAX FILIAL CRUZ'!E163," ")</f>
        <v xml:space="preserve"> </v>
      </c>
      <c r="H169" s="34" t="str">
        <f>IF(A169&lt;0,'CAR PROMAX FILIAL CRUZ'!J163," ")</f>
        <v xml:space="preserve"> </v>
      </c>
      <c r="I169" s="34"/>
      <c r="J169" s="34"/>
      <c r="K169" s="34" t="str">
        <f>IF(A169&lt;0,'CAR PROMAX FILIAL CRUZ'!O163," ")</f>
        <v xml:space="preserve"> </v>
      </c>
      <c r="L169" s="36" t="str">
        <f>IF(A169&lt;0,'CAR PROMAX FILIAL CRUZ'!P163," ")</f>
        <v xml:space="preserve"> </v>
      </c>
      <c r="M169" s="36" t="str">
        <f>IF(A169&lt;0,'CAR PROMAX FILIAL CRUZ'!Q163," ")</f>
        <v xml:space="preserve"> </v>
      </c>
      <c r="N169" s="36" t="str">
        <f>IF(A169&lt;0,'CAR PROMAX FILIAL CRUZ'!R163," ")</f>
        <v xml:space="preserve"> </v>
      </c>
      <c r="O169" s="37" t="str">
        <f>IF(A169&lt;0,'CAR PROMAX FILIAL CRUZ'!S163," ")</f>
        <v xml:space="preserve"> </v>
      </c>
      <c r="P169" s="37" t="str">
        <f>IF(A169&lt;0,'CAR PROMAX FILIAL CRUZ'!T163," ")</f>
        <v xml:space="preserve"> </v>
      </c>
      <c r="Q169" s="37" t="str">
        <f>IF(A169&lt;0,'CAR PROMAX FILIAL CRUZ'!U163," ")</f>
        <v xml:space="preserve"> </v>
      </c>
      <c r="R169" s="34" t="str">
        <f>IF(A169&lt;0,'CAR PROMAX FILIAL CRUZ'!V163," ")</f>
        <v xml:space="preserve"> </v>
      </c>
    </row>
    <row r="170" spans="1:18" x14ac:dyDescent="0.25">
      <c r="A170">
        <f>'CAR PROMAX FILIAL CRUZ'!O164</f>
        <v>0</v>
      </c>
      <c r="B170" s="33" t="str">
        <f t="shared" si="7"/>
        <v xml:space="preserve"> </v>
      </c>
      <c r="C170" s="33" t="str">
        <f t="shared" si="6"/>
        <v xml:space="preserve"> </v>
      </c>
      <c r="D170" s="34" t="str">
        <f>IF(A170&lt;0,'CAR PROMAX FILIAL CRUZ'!B164," ")</f>
        <v xml:space="preserve"> </v>
      </c>
      <c r="E170" s="35" t="str">
        <f>IF(A170&lt;0,'CAR PROMAX FILIAL CRUZ'!C164," ")</f>
        <v xml:space="preserve"> </v>
      </c>
      <c r="F170" s="34" t="str">
        <f>IF(A170&lt;0,'CAR PROMAX FILIAL CRUZ'!D164," ")</f>
        <v xml:space="preserve"> </v>
      </c>
      <c r="G170" s="34" t="str">
        <f>IF(A170&lt;0,'CAR PROMAX FILIAL CRUZ'!E164," ")</f>
        <v xml:space="preserve"> </v>
      </c>
      <c r="H170" s="34" t="str">
        <f>IF(A170&lt;0,'CAR PROMAX FILIAL CRUZ'!J164," ")</f>
        <v xml:space="preserve"> </v>
      </c>
      <c r="I170" s="34"/>
      <c r="J170" s="34"/>
      <c r="K170" s="34" t="str">
        <f>IF(A170&lt;0,'CAR PROMAX FILIAL CRUZ'!O164," ")</f>
        <v xml:space="preserve"> </v>
      </c>
      <c r="L170" s="36" t="str">
        <f>IF(A170&lt;0,'CAR PROMAX FILIAL CRUZ'!P164," ")</f>
        <v xml:space="preserve"> </v>
      </c>
      <c r="M170" s="36" t="str">
        <f>IF(A170&lt;0,'CAR PROMAX FILIAL CRUZ'!Q164," ")</f>
        <v xml:space="preserve"> </v>
      </c>
      <c r="N170" s="36" t="str">
        <f>IF(A170&lt;0,'CAR PROMAX FILIAL CRUZ'!R164," ")</f>
        <v xml:space="preserve"> </v>
      </c>
      <c r="O170" s="37" t="str">
        <f>IF(A170&lt;0,'CAR PROMAX FILIAL CRUZ'!S164," ")</f>
        <v xml:space="preserve"> </v>
      </c>
      <c r="P170" s="37" t="str">
        <f>IF(A170&lt;0,'CAR PROMAX FILIAL CRUZ'!T164," ")</f>
        <v xml:space="preserve"> </v>
      </c>
      <c r="Q170" s="37" t="str">
        <f>IF(A170&lt;0,'CAR PROMAX FILIAL CRUZ'!U164," ")</f>
        <v xml:space="preserve"> </v>
      </c>
      <c r="R170" s="34" t="str">
        <f>IF(A170&lt;0,'CAR PROMAX FILIAL CRUZ'!V164," ")</f>
        <v xml:space="preserve"> </v>
      </c>
    </row>
    <row r="171" spans="1:18" x14ac:dyDescent="0.25">
      <c r="A171">
        <f>'CAR PROMAX FILIAL CRUZ'!O165</f>
        <v>0</v>
      </c>
      <c r="B171" s="33" t="str">
        <f t="shared" si="7"/>
        <v xml:space="preserve"> </v>
      </c>
      <c r="C171" s="33" t="str">
        <f t="shared" si="6"/>
        <v xml:space="preserve"> </v>
      </c>
      <c r="D171" s="34" t="str">
        <f>IF(A171&lt;0,'CAR PROMAX FILIAL CRUZ'!B165," ")</f>
        <v xml:space="preserve"> </v>
      </c>
      <c r="E171" s="35" t="str">
        <f>IF(A171&lt;0,'CAR PROMAX FILIAL CRUZ'!C165," ")</f>
        <v xml:space="preserve"> </v>
      </c>
      <c r="F171" s="34" t="str">
        <f>IF(A171&lt;0,'CAR PROMAX FILIAL CRUZ'!D165," ")</f>
        <v xml:space="preserve"> </v>
      </c>
      <c r="G171" s="34" t="str">
        <f>IF(A171&lt;0,'CAR PROMAX FILIAL CRUZ'!E165," ")</f>
        <v xml:space="preserve"> </v>
      </c>
      <c r="H171" s="34" t="str">
        <f>IF(A171&lt;0,'CAR PROMAX FILIAL CRUZ'!J165," ")</f>
        <v xml:space="preserve"> </v>
      </c>
      <c r="I171" s="34"/>
      <c r="J171" s="34"/>
      <c r="K171" s="34" t="str">
        <f>IF(A171&lt;0,'CAR PROMAX FILIAL CRUZ'!O165," ")</f>
        <v xml:space="preserve"> </v>
      </c>
      <c r="L171" s="36" t="str">
        <f>IF(A171&lt;0,'CAR PROMAX FILIAL CRUZ'!P165," ")</f>
        <v xml:space="preserve"> </v>
      </c>
      <c r="M171" s="36" t="str">
        <f>IF(A171&lt;0,'CAR PROMAX FILIAL CRUZ'!Q165," ")</f>
        <v xml:space="preserve"> </v>
      </c>
      <c r="N171" s="36" t="str">
        <f>IF(A171&lt;0,'CAR PROMAX FILIAL CRUZ'!R165," ")</f>
        <v xml:space="preserve"> </v>
      </c>
      <c r="O171" s="37" t="str">
        <f>IF(A171&lt;0,'CAR PROMAX FILIAL CRUZ'!S165," ")</f>
        <v xml:space="preserve"> </v>
      </c>
      <c r="P171" s="37" t="str">
        <f>IF(A171&lt;0,'CAR PROMAX FILIAL CRUZ'!T165," ")</f>
        <v xml:space="preserve"> </v>
      </c>
      <c r="Q171" s="37" t="str">
        <f>IF(A171&lt;0,'CAR PROMAX FILIAL CRUZ'!U165," ")</f>
        <v xml:space="preserve"> </v>
      </c>
      <c r="R171" s="34" t="str">
        <f>IF(A171&lt;0,'CAR PROMAX FILIAL CRUZ'!V165," ")</f>
        <v xml:space="preserve"> </v>
      </c>
    </row>
    <row r="172" spans="1:18" x14ac:dyDescent="0.25">
      <c r="A172">
        <f>'CAR PROMAX FILIAL CRUZ'!O166</f>
        <v>0</v>
      </c>
      <c r="B172" s="33" t="str">
        <f t="shared" si="7"/>
        <v xml:space="preserve"> </v>
      </c>
      <c r="C172" s="33" t="str">
        <f t="shared" si="6"/>
        <v xml:space="preserve"> </v>
      </c>
      <c r="D172" s="34" t="str">
        <f>IF(A172&lt;0,'CAR PROMAX FILIAL CRUZ'!B166," ")</f>
        <v xml:space="preserve"> </v>
      </c>
      <c r="E172" s="35" t="str">
        <f>IF(A172&lt;0,'CAR PROMAX FILIAL CRUZ'!C166," ")</f>
        <v xml:space="preserve"> </v>
      </c>
      <c r="F172" s="34" t="str">
        <f>IF(A172&lt;0,'CAR PROMAX FILIAL CRUZ'!D166," ")</f>
        <v xml:space="preserve"> </v>
      </c>
      <c r="G172" s="34" t="str">
        <f>IF(A172&lt;0,'CAR PROMAX FILIAL CRUZ'!E166," ")</f>
        <v xml:space="preserve"> </v>
      </c>
      <c r="H172" s="34" t="str">
        <f>IF(A172&lt;0,'CAR PROMAX FILIAL CRUZ'!J166," ")</f>
        <v xml:space="preserve"> </v>
      </c>
      <c r="I172" s="34"/>
      <c r="J172" s="34"/>
      <c r="K172" s="34" t="str">
        <f>IF(A172&lt;0,'CAR PROMAX FILIAL CRUZ'!O166," ")</f>
        <v xml:space="preserve"> </v>
      </c>
      <c r="L172" s="36" t="str">
        <f>IF(A172&lt;0,'CAR PROMAX FILIAL CRUZ'!P166," ")</f>
        <v xml:space="preserve"> </v>
      </c>
      <c r="M172" s="36" t="str">
        <f>IF(A172&lt;0,'CAR PROMAX FILIAL CRUZ'!Q166," ")</f>
        <v xml:space="preserve"> </v>
      </c>
      <c r="N172" s="36" t="str">
        <f>IF(A172&lt;0,'CAR PROMAX FILIAL CRUZ'!R166," ")</f>
        <v xml:space="preserve"> </v>
      </c>
      <c r="O172" s="37" t="str">
        <f>IF(A172&lt;0,'CAR PROMAX FILIAL CRUZ'!S166," ")</f>
        <v xml:space="preserve"> </v>
      </c>
      <c r="P172" s="37" t="str">
        <f>IF(A172&lt;0,'CAR PROMAX FILIAL CRUZ'!T166," ")</f>
        <v xml:space="preserve"> </v>
      </c>
      <c r="Q172" s="37" t="str">
        <f>IF(A172&lt;0,'CAR PROMAX FILIAL CRUZ'!U166," ")</f>
        <v xml:space="preserve"> </v>
      </c>
      <c r="R172" s="34" t="str">
        <f>IF(A172&lt;0,'CAR PROMAX FILIAL CRUZ'!V166," ")</f>
        <v xml:space="preserve"> </v>
      </c>
    </row>
    <row r="173" spans="1:18" x14ac:dyDescent="0.25">
      <c r="A173">
        <f>'CAR PROMAX FILIAL CRUZ'!O167</f>
        <v>0</v>
      </c>
      <c r="B173" s="33" t="str">
        <f t="shared" si="7"/>
        <v xml:space="preserve"> </v>
      </c>
      <c r="C173" s="33" t="str">
        <f t="shared" si="6"/>
        <v xml:space="preserve"> </v>
      </c>
      <c r="D173" s="34" t="str">
        <f>IF(A173&lt;0,'CAR PROMAX FILIAL CRUZ'!B167," ")</f>
        <v xml:space="preserve"> </v>
      </c>
      <c r="E173" s="35" t="str">
        <f>IF(A173&lt;0,'CAR PROMAX FILIAL CRUZ'!C167," ")</f>
        <v xml:space="preserve"> </v>
      </c>
      <c r="F173" s="34" t="str">
        <f>IF(A173&lt;0,'CAR PROMAX FILIAL CRUZ'!D167," ")</f>
        <v xml:space="preserve"> </v>
      </c>
      <c r="G173" s="34" t="str">
        <f>IF(A173&lt;0,'CAR PROMAX FILIAL CRUZ'!E167," ")</f>
        <v xml:space="preserve"> </v>
      </c>
      <c r="H173" s="34" t="str">
        <f>IF(A173&lt;0,'CAR PROMAX FILIAL CRUZ'!J167," ")</f>
        <v xml:space="preserve"> </v>
      </c>
      <c r="I173" s="34"/>
      <c r="J173" s="34"/>
      <c r="K173" s="34" t="str">
        <f>IF(A173&lt;0,'CAR PROMAX FILIAL CRUZ'!O167," ")</f>
        <v xml:space="preserve"> </v>
      </c>
      <c r="L173" s="36" t="str">
        <f>IF(A173&lt;0,'CAR PROMAX FILIAL CRUZ'!P167," ")</f>
        <v xml:space="preserve"> </v>
      </c>
      <c r="M173" s="36" t="str">
        <f>IF(A173&lt;0,'CAR PROMAX FILIAL CRUZ'!Q167," ")</f>
        <v xml:space="preserve"> </v>
      </c>
      <c r="N173" s="36" t="str">
        <f>IF(A173&lt;0,'CAR PROMAX FILIAL CRUZ'!R167," ")</f>
        <v xml:space="preserve"> </v>
      </c>
      <c r="O173" s="37" t="str">
        <f>IF(A173&lt;0,'CAR PROMAX FILIAL CRUZ'!S167," ")</f>
        <v xml:space="preserve"> </v>
      </c>
      <c r="P173" s="37" t="str">
        <f>IF(A173&lt;0,'CAR PROMAX FILIAL CRUZ'!T167," ")</f>
        <v xml:space="preserve"> </v>
      </c>
      <c r="Q173" s="37" t="str">
        <f>IF(A173&lt;0,'CAR PROMAX FILIAL CRUZ'!U167," ")</f>
        <v xml:space="preserve"> </v>
      </c>
      <c r="R173" s="34" t="str">
        <f>IF(A173&lt;0,'CAR PROMAX FILIAL CRUZ'!V167," ")</f>
        <v xml:space="preserve"> </v>
      </c>
    </row>
    <row r="174" spans="1:18" x14ac:dyDescent="0.25">
      <c r="A174">
        <f>'CAR PROMAX FILIAL CRUZ'!O168</f>
        <v>0</v>
      </c>
      <c r="B174" s="33" t="str">
        <f t="shared" si="7"/>
        <v xml:space="preserve"> </v>
      </c>
      <c r="C174" s="33" t="str">
        <f t="shared" si="6"/>
        <v xml:space="preserve"> </v>
      </c>
      <c r="D174" s="34" t="str">
        <f>IF(A174&lt;0,'CAR PROMAX FILIAL CRUZ'!B168," ")</f>
        <v xml:space="preserve"> </v>
      </c>
      <c r="E174" s="35" t="str">
        <f>IF(A174&lt;0,'CAR PROMAX FILIAL CRUZ'!C168," ")</f>
        <v xml:space="preserve"> </v>
      </c>
      <c r="F174" s="34" t="str">
        <f>IF(A174&lt;0,'CAR PROMAX FILIAL CRUZ'!D168," ")</f>
        <v xml:space="preserve"> </v>
      </c>
      <c r="G174" s="34" t="str">
        <f>IF(A174&lt;0,'CAR PROMAX FILIAL CRUZ'!E168," ")</f>
        <v xml:space="preserve"> </v>
      </c>
      <c r="H174" s="34" t="str">
        <f>IF(A174&lt;0,'CAR PROMAX FILIAL CRUZ'!J168," ")</f>
        <v xml:space="preserve"> </v>
      </c>
      <c r="I174" s="34"/>
      <c r="J174" s="34"/>
      <c r="K174" s="34" t="str">
        <f>IF(A174&lt;0,'CAR PROMAX FILIAL CRUZ'!O168," ")</f>
        <v xml:space="preserve"> </v>
      </c>
      <c r="L174" s="36" t="str">
        <f>IF(A174&lt;0,'CAR PROMAX FILIAL CRUZ'!P168," ")</f>
        <v xml:space="preserve"> </v>
      </c>
      <c r="M174" s="36" t="str">
        <f>IF(A174&lt;0,'CAR PROMAX FILIAL CRUZ'!Q168," ")</f>
        <v xml:space="preserve"> </v>
      </c>
      <c r="N174" s="36" t="str">
        <f>IF(A174&lt;0,'CAR PROMAX FILIAL CRUZ'!R168," ")</f>
        <v xml:space="preserve"> </v>
      </c>
      <c r="O174" s="37" t="str">
        <f>IF(A174&lt;0,'CAR PROMAX FILIAL CRUZ'!S168," ")</f>
        <v xml:space="preserve"> </v>
      </c>
      <c r="P174" s="37" t="str">
        <f>IF(A174&lt;0,'CAR PROMAX FILIAL CRUZ'!T168," ")</f>
        <v xml:space="preserve"> </v>
      </c>
      <c r="Q174" s="37" t="str">
        <f>IF(A174&lt;0,'CAR PROMAX FILIAL CRUZ'!U168," ")</f>
        <v xml:space="preserve"> </v>
      </c>
      <c r="R174" s="34" t="str">
        <f>IF(A174&lt;0,'CAR PROMAX FILIAL CRUZ'!V168," ")</f>
        <v xml:space="preserve"> </v>
      </c>
    </row>
    <row r="175" spans="1:18" x14ac:dyDescent="0.25">
      <c r="A175">
        <f>'CAR PROMAX FILIAL CRUZ'!O169</f>
        <v>0</v>
      </c>
      <c r="B175" s="33" t="str">
        <f t="shared" si="7"/>
        <v xml:space="preserve"> </v>
      </c>
      <c r="C175" s="33" t="str">
        <f t="shared" si="6"/>
        <v xml:space="preserve"> </v>
      </c>
      <c r="D175" s="34" t="str">
        <f>IF(A175&lt;0,'CAR PROMAX FILIAL CRUZ'!B169," ")</f>
        <v xml:space="preserve"> </v>
      </c>
      <c r="E175" s="35" t="str">
        <f>IF(A175&lt;0,'CAR PROMAX FILIAL CRUZ'!C169," ")</f>
        <v xml:space="preserve"> </v>
      </c>
      <c r="F175" s="34" t="str">
        <f>IF(A175&lt;0,'CAR PROMAX FILIAL CRUZ'!D169," ")</f>
        <v xml:space="preserve"> </v>
      </c>
      <c r="G175" s="34" t="str">
        <f>IF(A175&lt;0,'CAR PROMAX FILIAL CRUZ'!E169," ")</f>
        <v xml:space="preserve"> </v>
      </c>
      <c r="H175" s="34" t="str">
        <f>IF(A175&lt;0,'CAR PROMAX FILIAL CRUZ'!J169," ")</f>
        <v xml:space="preserve"> </v>
      </c>
      <c r="I175" s="34"/>
      <c r="J175" s="34"/>
      <c r="K175" s="34" t="str">
        <f>IF(A175&lt;0,'CAR PROMAX FILIAL CRUZ'!O169," ")</f>
        <v xml:space="preserve"> </v>
      </c>
      <c r="L175" s="36" t="str">
        <f>IF(A175&lt;0,'CAR PROMAX FILIAL CRUZ'!P169," ")</f>
        <v xml:space="preserve"> </v>
      </c>
      <c r="M175" s="36" t="str">
        <f>IF(A175&lt;0,'CAR PROMAX FILIAL CRUZ'!Q169," ")</f>
        <v xml:space="preserve"> </v>
      </c>
      <c r="N175" s="36" t="str">
        <f>IF(A175&lt;0,'CAR PROMAX FILIAL CRUZ'!R169," ")</f>
        <v xml:space="preserve"> </v>
      </c>
      <c r="O175" s="37" t="str">
        <f>IF(A175&lt;0,'CAR PROMAX FILIAL CRUZ'!S169," ")</f>
        <v xml:space="preserve"> </v>
      </c>
      <c r="P175" s="37" t="str">
        <f>IF(A175&lt;0,'CAR PROMAX FILIAL CRUZ'!T169," ")</f>
        <v xml:space="preserve"> </v>
      </c>
      <c r="Q175" s="37" t="str">
        <f>IF(A175&lt;0,'CAR PROMAX FILIAL CRUZ'!U169," ")</f>
        <v xml:space="preserve"> </v>
      </c>
      <c r="R175" s="34" t="str">
        <f>IF(A175&lt;0,'CAR PROMAX FILIAL CRUZ'!V169," ")</f>
        <v xml:space="preserve"> </v>
      </c>
    </row>
    <row r="176" spans="1:18" x14ac:dyDescent="0.25">
      <c r="A176">
        <f>'CAR PROMAX FILIAL CRUZ'!O170</f>
        <v>0</v>
      </c>
      <c r="B176" s="33" t="str">
        <f t="shared" si="7"/>
        <v xml:space="preserve"> </v>
      </c>
      <c r="C176" s="33" t="str">
        <f t="shared" si="6"/>
        <v xml:space="preserve"> </v>
      </c>
      <c r="D176" s="34" t="str">
        <f>IF(A176&lt;0,'CAR PROMAX FILIAL CRUZ'!B170," ")</f>
        <v xml:space="preserve"> </v>
      </c>
      <c r="E176" s="35" t="str">
        <f>IF(A176&lt;0,'CAR PROMAX FILIAL CRUZ'!C170," ")</f>
        <v xml:space="preserve"> </v>
      </c>
      <c r="F176" s="34" t="str">
        <f>IF(A176&lt;0,'CAR PROMAX FILIAL CRUZ'!D170," ")</f>
        <v xml:space="preserve"> </v>
      </c>
      <c r="G176" s="34" t="str">
        <f>IF(A176&lt;0,'CAR PROMAX FILIAL CRUZ'!E170," ")</f>
        <v xml:space="preserve"> </v>
      </c>
      <c r="H176" s="34" t="str">
        <f>IF(A176&lt;0,'CAR PROMAX FILIAL CRUZ'!J170," ")</f>
        <v xml:space="preserve"> </v>
      </c>
      <c r="I176" s="34"/>
      <c r="J176" s="34"/>
      <c r="K176" s="34" t="str">
        <f>IF(A176&lt;0,'CAR PROMAX FILIAL CRUZ'!O170," ")</f>
        <v xml:space="preserve"> </v>
      </c>
      <c r="L176" s="36" t="str">
        <f>IF(A176&lt;0,'CAR PROMAX FILIAL CRUZ'!P170," ")</f>
        <v xml:space="preserve"> </v>
      </c>
      <c r="M176" s="36" t="str">
        <f>IF(A176&lt;0,'CAR PROMAX FILIAL CRUZ'!Q170," ")</f>
        <v xml:space="preserve"> </v>
      </c>
      <c r="N176" s="36" t="str">
        <f>IF(A176&lt;0,'CAR PROMAX FILIAL CRUZ'!R170," ")</f>
        <v xml:space="preserve"> </v>
      </c>
      <c r="O176" s="37" t="str">
        <f>IF(A176&lt;0,'CAR PROMAX FILIAL CRUZ'!S170," ")</f>
        <v xml:space="preserve"> </v>
      </c>
      <c r="P176" s="37" t="str">
        <f>IF(A176&lt;0,'CAR PROMAX FILIAL CRUZ'!T170," ")</f>
        <v xml:space="preserve"> </v>
      </c>
      <c r="Q176" s="37" t="str">
        <f>IF(A176&lt;0,'CAR PROMAX FILIAL CRUZ'!U170," ")</f>
        <v xml:space="preserve"> </v>
      </c>
      <c r="R176" s="34" t="str">
        <f>IF(A176&lt;0,'CAR PROMAX FILIAL CRUZ'!V170," ")</f>
        <v xml:space="preserve"> </v>
      </c>
    </row>
    <row r="177" spans="1:18" x14ac:dyDescent="0.25">
      <c r="A177">
        <f>'CAR PROMAX FILIAL CRUZ'!O171</f>
        <v>0</v>
      </c>
      <c r="B177" s="33" t="str">
        <f t="shared" si="7"/>
        <v xml:space="preserve"> </v>
      </c>
      <c r="C177" s="33" t="str">
        <f t="shared" si="6"/>
        <v xml:space="preserve"> </v>
      </c>
      <c r="D177" s="34" t="str">
        <f>IF(A177&lt;0,'CAR PROMAX FILIAL CRUZ'!B171," ")</f>
        <v xml:space="preserve"> </v>
      </c>
      <c r="E177" s="35" t="str">
        <f>IF(A177&lt;0,'CAR PROMAX FILIAL CRUZ'!C171," ")</f>
        <v xml:space="preserve"> </v>
      </c>
      <c r="F177" s="34" t="str">
        <f>IF(A177&lt;0,'CAR PROMAX FILIAL CRUZ'!D171," ")</f>
        <v xml:space="preserve"> </v>
      </c>
      <c r="G177" s="34" t="str">
        <f>IF(A177&lt;0,'CAR PROMAX FILIAL CRUZ'!E171," ")</f>
        <v xml:space="preserve"> </v>
      </c>
      <c r="H177" s="34" t="str">
        <f>IF(A177&lt;0,'CAR PROMAX FILIAL CRUZ'!J171," ")</f>
        <v xml:space="preserve"> </v>
      </c>
      <c r="I177" s="34"/>
      <c r="J177" s="34"/>
      <c r="K177" s="34" t="str">
        <f>IF(A177&lt;0,'CAR PROMAX FILIAL CRUZ'!O171," ")</f>
        <v xml:space="preserve"> </v>
      </c>
      <c r="L177" s="36" t="str">
        <f>IF(A177&lt;0,'CAR PROMAX FILIAL CRUZ'!P171," ")</f>
        <v xml:space="preserve"> </v>
      </c>
      <c r="M177" s="36" t="str">
        <f>IF(A177&lt;0,'CAR PROMAX FILIAL CRUZ'!Q171," ")</f>
        <v xml:space="preserve"> </v>
      </c>
      <c r="N177" s="36" t="str">
        <f>IF(A177&lt;0,'CAR PROMAX FILIAL CRUZ'!R171," ")</f>
        <v xml:space="preserve"> </v>
      </c>
      <c r="O177" s="37" t="str">
        <f>IF(A177&lt;0,'CAR PROMAX FILIAL CRUZ'!S171," ")</f>
        <v xml:space="preserve"> </v>
      </c>
      <c r="P177" s="37" t="str">
        <f>IF(A177&lt;0,'CAR PROMAX FILIAL CRUZ'!T171," ")</f>
        <v xml:space="preserve"> </v>
      </c>
      <c r="Q177" s="37" t="str">
        <f>IF(A177&lt;0,'CAR PROMAX FILIAL CRUZ'!U171," ")</f>
        <v xml:space="preserve"> </v>
      </c>
      <c r="R177" s="34" t="str">
        <f>IF(A177&lt;0,'CAR PROMAX FILIAL CRUZ'!V171," ")</f>
        <v xml:space="preserve"> </v>
      </c>
    </row>
    <row r="178" spans="1:18" x14ac:dyDescent="0.25">
      <c r="A178">
        <f>'CAR PROMAX FILIAL CRUZ'!O172</f>
        <v>0</v>
      </c>
      <c r="B178" s="33" t="str">
        <f t="shared" si="7"/>
        <v xml:space="preserve"> </v>
      </c>
      <c r="C178" s="33" t="str">
        <f t="shared" si="6"/>
        <v xml:space="preserve"> </v>
      </c>
      <c r="D178" s="34" t="str">
        <f>IF(A178&lt;0,'CAR PROMAX FILIAL CRUZ'!B172," ")</f>
        <v xml:space="preserve"> </v>
      </c>
      <c r="E178" s="35" t="str">
        <f>IF(A178&lt;0,'CAR PROMAX FILIAL CRUZ'!C172," ")</f>
        <v xml:space="preserve"> </v>
      </c>
      <c r="F178" s="34" t="str">
        <f>IF(A178&lt;0,'CAR PROMAX FILIAL CRUZ'!D172," ")</f>
        <v xml:space="preserve"> </v>
      </c>
      <c r="G178" s="34" t="str">
        <f>IF(A178&lt;0,'CAR PROMAX FILIAL CRUZ'!E172," ")</f>
        <v xml:space="preserve"> </v>
      </c>
      <c r="H178" s="34" t="str">
        <f>IF(A178&lt;0,'CAR PROMAX FILIAL CRUZ'!J172," ")</f>
        <v xml:space="preserve"> </v>
      </c>
      <c r="I178" s="34"/>
      <c r="J178" s="34"/>
      <c r="K178" s="34" t="str">
        <f>IF(A178&lt;0,'CAR PROMAX FILIAL CRUZ'!O172," ")</f>
        <v xml:space="preserve"> </v>
      </c>
      <c r="L178" s="36" t="str">
        <f>IF(A178&lt;0,'CAR PROMAX FILIAL CRUZ'!P172," ")</f>
        <v xml:space="preserve"> </v>
      </c>
      <c r="M178" s="36" t="str">
        <f>IF(A178&lt;0,'CAR PROMAX FILIAL CRUZ'!Q172," ")</f>
        <v xml:space="preserve"> </v>
      </c>
      <c r="N178" s="36" t="str">
        <f>IF(A178&lt;0,'CAR PROMAX FILIAL CRUZ'!R172," ")</f>
        <v xml:space="preserve"> </v>
      </c>
      <c r="O178" s="37" t="str">
        <f>IF(A178&lt;0,'CAR PROMAX FILIAL CRUZ'!S172," ")</f>
        <v xml:space="preserve"> </v>
      </c>
      <c r="P178" s="37" t="str">
        <f>IF(A178&lt;0,'CAR PROMAX FILIAL CRUZ'!T172," ")</f>
        <v xml:space="preserve"> </v>
      </c>
      <c r="Q178" s="37" t="str">
        <f>IF(A178&lt;0,'CAR PROMAX FILIAL CRUZ'!U172," ")</f>
        <v xml:space="preserve"> </v>
      </c>
      <c r="R178" s="34" t="str">
        <f>IF(A178&lt;0,'CAR PROMAX FILIAL CRUZ'!V172," ")</f>
        <v xml:space="preserve"> </v>
      </c>
    </row>
    <row r="179" spans="1:18" x14ac:dyDescent="0.25">
      <c r="A179">
        <f>'CAR PROMAX FILIAL CRUZ'!O173</f>
        <v>0</v>
      </c>
      <c r="B179" s="33" t="str">
        <f t="shared" si="7"/>
        <v xml:space="preserve"> </v>
      </c>
      <c r="C179" s="33" t="str">
        <f t="shared" si="6"/>
        <v xml:space="preserve"> </v>
      </c>
      <c r="D179" s="34" t="str">
        <f>IF(A179&lt;0,'CAR PROMAX FILIAL CRUZ'!B173," ")</f>
        <v xml:space="preserve"> </v>
      </c>
      <c r="E179" s="35" t="str">
        <f>IF(A179&lt;0,'CAR PROMAX FILIAL CRUZ'!C173," ")</f>
        <v xml:space="preserve"> </v>
      </c>
      <c r="F179" s="34" t="str">
        <f>IF(A179&lt;0,'CAR PROMAX FILIAL CRUZ'!D173," ")</f>
        <v xml:space="preserve"> </v>
      </c>
      <c r="G179" s="34" t="str">
        <f>IF(A179&lt;0,'CAR PROMAX FILIAL CRUZ'!E173," ")</f>
        <v xml:space="preserve"> </v>
      </c>
      <c r="H179" s="34" t="str">
        <f>IF(A179&lt;0,'CAR PROMAX FILIAL CRUZ'!J173," ")</f>
        <v xml:space="preserve"> </v>
      </c>
      <c r="I179" s="34"/>
      <c r="J179" s="34"/>
      <c r="K179" s="34" t="str">
        <f>IF(A179&lt;0,'CAR PROMAX FILIAL CRUZ'!O173," ")</f>
        <v xml:space="preserve"> </v>
      </c>
      <c r="L179" s="36" t="str">
        <f>IF(A179&lt;0,'CAR PROMAX FILIAL CRUZ'!P173," ")</f>
        <v xml:space="preserve"> </v>
      </c>
      <c r="M179" s="36" t="str">
        <f>IF(A179&lt;0,'CAR PROMAX FILIAL CRUZ'!Q173," ")</f>
        <v xml:space="preserve"> </v>
      </c>
      <c r="N179" s="36" t="str">
        <f>IF(A179&lt;0,'CAR PROMAX FILIAL CRUZ'!R173," ")</f>
        <v xml:space="preserve"> </v>
      </c>
      <c r="O179" s="37" t="str">
        <f>IF(A179&lt;0,'CAR PROMAX FILIAL CRUZ'!S173," ")</f>
        <v xml:space="preserve"> </v>
      </c>
      <c r="P179" s="37" t="str">
        <f>IF(A179&lt;0,'CAR PROMAX FILIAL CRUZ'!T173," ")</f>
        <v xml:space="preserve"> </v>
      </c>
      <c r="Q179" s="37" t="str">
        <f>IF(A179&lt;0,'CAR PROMAX FILIAL CRUZ'!U173," ")</f>
        <v xml:space="preserve"> </v>
      </c>
      <c r="R179" s="34" t="str">
        <f>IF(A179&lt;0,'CAR PROMAX FILIAL CRUZ'!V173," ")</f>
        <v xml:space="preserve"> </v>
      </c>
    </row>
    <row r="180" spans="1:18" x14ac:dyDescent="0.25">
      <c r="A180">
        <f>'CAR PROMAX FILIAL CRUZ'!O174</f>
        <v>0</v>
      </c>
      <c r="B180" s="33" t="str">
        <f t="shared" si="7"/>
        <v xml:space="preserve"> </v>
      </c>
      <c r="C180" s="33" t="str">
        <f t="shared" si="6"/>
        <v xml:space="preserve"> </v>
      </c>
      <c r="D180" s="34" t="str">
        <f>IF(A180&lt;0,'CAR PROMAX FILIAL CRUZ'!B174," ")</f>
        <v xml:space="preserve"> </v>
      </c>
      <c r="E180" s="35" t="str">
        <f>IF(A180&lt;0,'CAR PROMAX FILIAL CRUZ'!C174," ")</f>
        <v xml:space="preserve"> </v>
      </c>
      <c r="F180" s="34" t="str">
        <f>IF(A180&lt;0,'CAR PROMAX FILIAL CRUZ'!D174," ")</f>
        <v xml:space="preserve"> </v>
      </c>
      <c r="G180" s="34" t="str">
        <f>IF(A180&lt;0,'CAR PROMAX FILIAL CRUZ'!E174," ")</f>
        <v xml:space="preserve"> </v>
      </c>
      <c r="H180" s="34" t="str">
        <f>IF(A180&lt;0,'CAR PROMAX FILIAL CRUZ'!J174," ")</f>
        <v xml:space="preserve"> </v>
      </c>
      <c r="I180" s="34"/>
      <c r="J180" s="34"/>
      <c r="K180" s="34" t="str">
        <f>IF(A180&lt;0,'CAR PROMAX FILIAL CRUZ'!O174," ")</f>
        <v xml:space="preserve"> </v>
      </c>
      <c r="L180" s="36" t="str">
        <f>IF(A180&lt;0,'CAR PROMAX FILIAL CRUZ'!P174," ")</f>
        <v xml:space="preserve"> </v>
      </c>
      <c r="M180" s="36" t="str">
        <f>IF(A180&lt;0,'CAR PROMAX FILIAL CRUZ'!Q174," ")</f>
        <v xml:space="preserve"> </v>
      </c>
      <c r="N180" s="36" t="str">
        <f>IF(A180&lt;0,'CAR PROMAX FILIAL CRUZ'!R174," ")</f>
        <v xml:space="preserve"> </v>
      </c>
      <c r="O180" s="37" t="str">
        <f>IF(A180&lt;0,'CAR PROMAX FILIAL CRUZ'!S174," ")</f>
        <v xml:space="preserve"> </v>
      </c>
      <c r="P180" s="37" t="str">
        <f>IF(A180&lt;0,'CAR PROMAX FILIAL CRUZ'!T174," ")</f>
        <v xml:space="preserve"> </v>
      </c>
      <c r="Q180" s="37" t="str">
        <f>IF(A180&lt;0,'CAR PROMAX FILIAL CRUZ'!U174," ")</f>
        <v xml:space="preserve"> </v>
      </c>
      <c r="R180" s="34" t="str">
        <f>IF(A180&lt;0,'CAR PROMAX FILIAL CRUZ'!V174," ")</f>
        <v xml:space="preserve"> </v>
      </c>
    </row>
    <row r="181" spans="1:18" x14ac:dyDescent="0.25">
      <c r="A181">
        <f>'CAR PROMAX FILIAL CRUZ'!O175</f>
        <v>0</v>
      </c>
      <c r="B181" s="33" t="str">
        <f t="shared" si="7"/>
        <v xml:space="preserve"> </v>
      </c>
      <c r="C181" s="33" t="str">
        <f t="shared" si="6"/>
        <v xml:space="preserve"> </v>
      </c>
      <c r="D181" s="34" t="str">
        <f>IF(A181&lt;0,'CAR PROMAX FILIAL CRUZ'!B175," ")</f>
        <v xml:space="preserve"> </v>
      </c>
      <c r="E181" s="35" t="str">
        <f>IF(A181&lt;0,'CAR PROMAX FILIAL CRUZ'!C175," ")</f>
        <v xml:space="preserve"> </v>
      </c>
      <c r="F181" s="34" t="str">
        <f>IF(A181&lt;0,'CAR PROMAX FILIAL CRUZ'!D175," ")</f>
        <v xml:space="preserve"> </v>
      </c>
      <c r="G181" s="34" t="str">
        <f>IF(A181&lt;0,'CAR PROMAX FILIAL CRUZ'!E175," ")</f>
        <v xml:space="preserve"> </v>
      </c>
      <c r="H181" s="34" t="str">
        <f>IF(A181&lt;0,'CAR PROMAX FILIAL CRUZ'!J175," ")</f>
        <v xml:space="preserve"> </v>
      </c>
      <c r="I181" s="34"/>
      <c r="J181" s="34"/>
      <c r="K181" s="34" t="str">
        <f>IF(A181&lt;0,'CAR PROMAX FILIAL CRUZ'!O175," ")</f>
        <v xml:space="preserve"> </v>
      </c>
      <c r="L181" s="36" t="str">
        <f>IF(A181&lt;0,'CAR PROMAX FILIAL CRUZ'!P175," ")</f>
        <v xml:space="preserve"> </v>
      </c>
      <c r="M181" s="36" t="str">
        <f>IF(A181&lt;0,'CAR PROMAX FILIAL CRUZ'!Q175," ")</f>
        <v xml:space="preserve"> </v>
      </c>
      <c r="N181" s="36" t="str">
        <f>IF(A181&lt;0,'CAR PROMAX FILIAL CRUZ'!R175," ")</f>
        <v xml:space="preserve"> </v>
      </c>
      <c r="O181" s="37" t="str">
        <f>IF(A181&lt;0,'CAR PROMAX FILIAL CRUZ'!S175," ")</f>
        <v xml:space="preserve"> </v>
      </c>
      <c r="P181" s="37" t="str">
        <f>IF(A181&lt;0,'CAR PROMAX FILIAL CRUZ'!T175," ")</f>
        <v xml:space="preserve"> </v>
      </c>
      <c r="Q181" s="37" t="str">
        <f>IF(A181&lt;0,'CAR PROMAX FILIAL CRUZ'!U175," ")</f>
        <v xml:space="preserve"> </v>
      </c>
      <c r="R181" s="34" t="str">
        <f>IF(A181&lt;0,'CAR PROMAX FILIAL CRUZ'!V175," ")</f>
        <v xml:space="preserve"> </v>
      </c>
    </row>
    <row r="182" spans="1:18" x14ac:dyDescent="0.25">
      <c r="A182">
        <f>'CAR PROMAX FILIAL CRUZ'!O176</f>
        <v>0</v>
      </c>
      <c r="B182" s="33" t="str">
        <f t="shared" si="7"/>
        <v xml:space="preserve"> </v>
      </c>
      <c r="C182" s="33" t="str">
        <f t="shared" si="6"/>
        <v xml:space="preserve"> </v>
      </c>
      <c r="D182" s="34" t="str">
        <f>IF(A182&lt;0,'CAR PROMAX FILIAL CRUZ'!B176," ")</f>
        <v xml:space="preserve"> </v>
      </c>
      <c r="E182" s="35" t="str">
        <f>IF(A182&lt;0,'CAR PROMAX FILIAL CRUZ'!C176," ")</f>
        <v xml:space="preserve"> </v>
      </c>
      <c r="F182" s="34" t="str">
        <f>IF(A182&lt;0,'CAR PROMAX FILIAL CRUZ'!D176," ")</f>
        <v xml:space="preserve"> </v>
      </c>
      <c r="G182" s="34" t="str">
        <f>IF(A182&lt;0,'CAR PROMAX FILIAL CRUZ'!E176," ")</f>
        <v xml:space="preserve"> </v>
      </c>
      <c r="H182" s="34" t="str">
        <f>IF(A182&lt;0,'CAR PROMAX FILIAL CRUZ'!J176," ")</f>
        <v xml:space="preserve"> </v>
      </c>
      <c r="I182" s="34"/>
      <c r="J182" s="34"/>
      <c r="K182" s="34" t="str">
        <f>IF(A182&lt;0,'CAR PROMAX FILIAL CRUZ'!O176," ")</f>
        <v xml:space="preserve"> </v>
      </c>
      <c r="L182" s="36" t="str">
        <f>IF(A182&lt;0,'CAR PROMAX FILIAL CRUZ'!P176," ")</f>
        <v xml:space="preserve"> </v>
      </c>
      <c r="M182" s="36" t="str">
        <f>IF(A182&lt;0,'CAR PROMAX FILIAL CRUZ'!Q176," ")</f>
        <v xml:space="preserve"> </v>
      </c>
      <c r="N182" s="36" t="str">
        <f>IF(A182&lt;0,'CAR PROMAX FILIAL CRUZ'!R176," ")</f>
        <v xml:space="preserve"> </v>
      </c>
      <c r="O182" s="37" t="str">
        <f>IF(A182&lt;0,'CAR PROMAX FILIAL CRUZ'!S176," ")</f>
        <v xml:space="preserve"> </v>
      </c>
      <c r="P182" s="37" t="str">
        <f>IF(A182&lt;0,'CAR PROMAX FILIAL CRUZ'!T176," ")</f>
        <v xml:space="preserve"> </v>
      </c>
      <c r="Q182" s="37" t="str">
        <f>IF(A182&lt;0,'CAR PROMAX FILIAL CRUZ'!U176," ")</f>
        <v xml:space="preserve"> </v>
      </c>
      <c r="R182" s="34" t="str">
        <f>IF(A182&lt;0,'CAR PROMAX FILIAL CRUZ'!V176," ")</f>
        <v xml:space="preserve"> </v>
      </c>
    </row>
    <row r="183" spans="1:18" x14ac:dyDescent="0.25">
      <c r="A183">
        <f>'CAR PROMAX FILIAL CRUZ'!O177</f>
        <v>0</v>
      </c>
      <c r="B183" s="33" t="str">
        <f t="shared" si="7"/>
        <v xml:space="preserve"> </v>
      </c>
      <c r="C183" s="33" t="str">
        <f t="shared" si="6"/>
        <v xml:space="preserve"> </v>
      </c>
      <c r="D183" s="34" t="str">
        <f>IF(A183&lt;0,'CAR PROMAX FILIAL CRUZ'!B177," ")</f>
        <v xml:space="preserve"> </v>
      </c>
      <c r="E183" s="35" t="str">
        <f>IF(A183&lt;0,'CAR PROMAX FILIAL CRUZ'!C177," ")</f>
        <v xml:space="preserve"> </v>
      </c>
      <c r="F183" s="34" t="str">
        <f>IF(A183&lt;0,'CAR PROMAX FILIAL CRUZ'!D177," ")</f>
        <v xml:space="preserve"> </v>
      </c>
      <c r="G183" s="34" t="str">
        <f>IF(A183&lt;0,'CAR PROMAX FILIAL CRUZ'!E177," ")</f>
        <v xml:space="preserve"> </v>
      </c>
      <c r="H183" s="34" t="str">
        <f>IF(A183&lt;0,'CAR PROMAX FILIAL CRUZ'!J177," ")</f>
        <v xml:space="preserve"> </v>
      </c>
      <c r="I183" s="34"/>
      <c r="J183" s="34"/>
      <c r="K183" s="34" t="str">
        <f>IF(A183&lt;0,'CAR PROMAX FILIAL CRUZ'!O177," ")</f>
        <v xml:space="preserve"> </v>
      </c>
      <c r="L183" s="36" t="str">
        <f>IF(A183&lt;0,'CAR PROMAX FILIAL CRUZ'!P177," ")</f>
        <v xml:space="preserve"> </v>
      </c>
      <c r="M183" s="36" t="str">
        <f>IF(A183&lt;0,'CAR PROMAX FILIAL CRUZ'!Q177," ")</f>
        <v xml:space="preserve"> </v>
      </c>
      <c r="N183" s="36" t="str">
        <f>IF(A183&lt;0,'CAR PROMAX FILIAL CRUZ'!R177," ")</f>
        <v xml:space="preserve"> </v>
      </c>
      <c r="O183" s="37" t="str">
        <f>IF(A183&lt;0,'CAR PROMAX FILIAL CRUZ'!S177," ")</f>
        <v xml:space="preserve"> </v>
      </c>
      <c r="P183" s="37" t="str">
        <f>IF(A183&lt;0,'CAR PROMAX FILIAL CRUZ'!T177," ")</f>
        <v xml:space="preserve"> </v>
      </c>
      <c r="Q183" s="37" t="str">
        <f>IF(A183&lt;0,'CAR PROMAX FILIAL CRUZ'!U177," ")</f>
        <v xml:space="preserve"> </v>
      </c>
      <c r="R183" s="34" t="str">
        <f>IF(A183&lt;0,'CAR PROMAX FILIAL CRUZ'!V177," ")</f>
        <v xml:space="preserve"> </v>
      </c>
    </row>
    <row r="184" spans="1:18" x14ac:dyDescent="0.25">
      <c r="A184">
        <f>'CAR PROMAX FILIAL CRUZ'!O178</f>
        <v>0</v>
      </c>
      <c r="B184" s="33" t="str">
        <f t="shared" si="7"/>
        <v xml:space="preserve"> </v>
      </c>
      <c r="C184" s="33" t="str">
        <f t="shared" si="6"/>
        <v xml:space="preserve"> </v>
      </c>
      <c r="D184" s="34" t="str">
        <f>IF(A184&lt;0,'CAR PROMAX FILIAL CRUZ'!B178," ")</f>
        <v xml:space="preserve"> </v>
      </c>
      <c r="E184" s="35" t="str">
        <f>IF(A184&lt;0,'CAR PROMAX FILIAL CRUZ'!C178," ")</f>
        <v xml:space="preserve"> </v>
      </c>
      <c r="F184" s="34" t="str">
        <f>IF(A184&lt;0,'CAR PROMAX FILIAL CRUZ'!D178," ")</f>
        <v xml:space="preserve"> </v>
      </c>
      <c r="G184" s="34" t="str">
        <f>IF(A184&lt;0,'CAR PROMAX FILIAL CRUZ'!E178," ")</f>
        <v xml:space="preserve"> </v>
      </c>
      <c r="H184" s="34" t="str">
        <f>IF(A184&lt;0,'CAR PROMAX FILIAL CRUZ'!J178," ")</f>
        <v xml:space="preserve"> </v>
      </c>
      <c r="I184" s="34"/>
      <c r="J184" s="34"/>
      <c r="K184" s="34" t="str">
        <f>IF(A184&lt;0,'CAR PROMAX FILIAL CRUZ'!O178," ")</f>
        <v xml:space="preserve"> </v>
      </c>
      <c r="L184" s="36" t="str">
        <f>IF(A184&lt;0,'CAR PROMAX FILIAL CRUZ'!P178," ")</f>
        <v xml:space="preserve"> </v>
      </c>
      <c r="M184" s="36" t="str">
        <f>IF(A184&lt;0,'CAR PROMAX FILIAL CRUZ'!Q178," ")</f>
        <v xml:space="preserve"> </v>
      </c>
      <c r="N184" s="36" t="str">
        <f>IF(A184&lt;0,'CAR PROMAX FILIAL CRUZ'!R178," ")</f>
        <v xml:space="preserve"> </v>
      </c>
      <c r="O184" s="37" t="str">
        <f>IF(A184&lt;0,'CAR PROMAX FILIAL CRUZ'!S178," ")</f>
        <v xml:space="preserve"> </v>
      </c>
      <c r="P184" s="37" t="str">
        <f>IF(A184&lt;0,'CAR PROMAX FILIAL CRUZ'!T178," ")</f>
        <v xml:space="preserve"> </v>
      </c>
      <c r="Q184" s="37" t="str">
        <f>IF(A184&lt;0,'CAR PROMAX FILIAL CRUZ'!U178," ")</f>
        <v xml:space="preserve"> </v>
      </c>
      <c r="R184" s="34" t="str">
        <f>IF(A184&lt;0,'CAR PROMAX FILIAL CRUZ'!V178," ")</f>
        <v xml:space="preserve"> </v>
      </c>
    </row>
    <row r="185" spans="1:18" x14ac:dyDescent="0.25">
      <c r="A185">
        <f>'CAR PROMAX FILIAL CRUZ'!O179</f>
        <v>0</v>
      </c>
      <c r="B185" s="33" t="str">
        <f t="shared" si="7"/>
        <v xml:space="preserve"> </v>
      </c>
      <c r="C185" s="33" t="str">
        <f t="shared" si="6"/>
        <v xml:space="preserve"> </v>
      </c>
      <c r="D185" s="34" t="str">
        <f>IF(A185&lt;0,'CAR PROMAX FILIAL CRUZ'!B179," ")</f>
        <v xml:space="preserve"> </v>
      </c>
      <c r="E185" s="35" t="str">
        <f>IF(A185&lt;0,'CAR PROMAX FILIAL CRUZ'!C179," ")</f>
        <v xml:space="preserve"> </v>
      </c>
      <c r="F185" s="34" t="str">
        <f>IF(A185&lt;0,'CAR PROMAX FILIAL CRUZ'!D179," ")</f>
        <v xml:space="preserve"> </v>
      </c>
      <c r="G185" s="34" t="str">
        <f>IF(A185&lt;0,'CAR PROMAX FILIAL CRUZ'!E179," ")</f>
        <v xml:space="preserve"> </v>
      </c>
      <c r="H185" s="34" t="str">
        <f>IF(A185&lt;0,'CAR PROMAX FILIAL CRUZ'!J179," ")</f>
        <v xml:space="preserve"> </v>
      </c>
      <c r="I185" s="34"/>
      <c r="J185" s="34"/>
      <c r="K185" s="34" t="str">
        <f>IF(A185&lt;0,'CAR PROMAX FILIAL CRUZ'!O179," ")</f>
        <v xml:space="preserve"> </v>
      </c>
      <c r="L185" s="36" t="str">
        <f>IF(A185&lt;0,'CAR PROMAX FILIAL CRUZ'!P179," ")</f>
        <v xml:space="preserve"> </v>
      </c>
      <c r="M185" s="36" t="str">
        <f>IF(A185&lt;0,'CAR PROMAX FILIAL CRUZ'!Q179," ")</f>
        <v xml:space="preserve"> </v>
      </c>
      <c r="N185" s="36" t="str">
        <f>IF(A185&lt;0,'CAR PROMAX FILIAL CRUZ'!R179," ")</f>
        <v xml:space="preserve"> </v>
      </c>
      <c r="O185" s="37" t="str">
        <f>IF(A185&lt;0,'CAR PROMAX FILIAL CRUZ'!S179," ")</f>
        <v xml:space="preserve"> </v>
      </c>
      <c r="P185" s="37" t="str">
        <f>IF(A185&lt;0,'CAR PROMAX FILIAL CRUZ'!T179," ")</f>
        <v xml:space="preserve"> </v>
      </c>
      <c r="Q185" s="37" t="str">
        <f>IF(A185&lt;0,'CAR PROMAX FILIAL CRUZ'!U179," ")</f>
        <v xml:space="preserve"> </v>
      </c>
      <c r="R185" s="34" t="str">
        <f>IF(A185&lt;0,'CAR PROMAX FILIAL CRUZ'!V179," ")</f>
        <v xml:space="preserve"> </v>
      </c>
    </row>
    <row r="186" spans="1:18" x14ac:dyDescent="0.25">
      <c r="A186">
        <f>'CAR PROMAX FILIAL CRUZ'!O180</f>
        <v>0</v>
      </c>
      <c r="B186" s="33" t="str">
        <f t="shared" si="7"/>
        <v xml:space="preserve"> </v>
      </c>
      <c r="C186" s="33" t="str">
        <f t="shared" si="6"/>
        <v xml:space="preserve"> </v>
      </c>
      <c r="D186" s="34" t="str">
        <f>IF(A186&lt;0,'CAR PROMAX FILIAL CRUZ'!B180," ")</f>
        <v xml:space="preserve"> </v>
      </c>
      <c r="E186" s="35" t="str">
        <f>IF(A186&lt;0,'CAR PROMAX FILIAL CRUZ'!C180," ")</f>
        <v xml:space="preserve"> </v>
      </c>
      <c r="F186" s="34" t="str">
        <f>IF(A186&lt;0,'CAR PROMAX FILIAL CRUZ'!D180," ")</f>
        <v xml:space="preserve"> </v>
      </c>
      <c r="G186" s="34" t="str">
        <f>IF(A186&lt;0,'CAR PROMAX FILIAL CRUZ'!E180," ")</f>
        <v xml:space="preserve"> </v>
      </c>
      <c r="H186" s="34" t="str">
        <f>IF(A186&lt;0,'CAR PROMAX FILIAL CRUZ'!J180," ")</f>
        <v xml:space="preserve"> </v>
      </c>
      <c r="I186" s="34"/>
      <c r="J186" s="34"/>
      <c r="K186" s="34" t="str">
        <f>IF(A186&lt;0,'CAR PROMAX FILIAL CRUZ'!O180," ")</f>
        <v xml:space="preserve"> </v>
      </c>
      <c r="L186" s="36" t="str">
        <f>IF(A186&lt;0,'CAR PROMAX FILIAL CRUZ'!P180," ")</f>
        <v xml:space="preserve"> </v>
      </c>
      <c r="M186" s="36" t="str">
        <f>IF(A186&lt;0,'CAR PROMAX FILIAL CRUZ'!Q180," ")</f>
        <v xml:space="preserve"> </v>
      </c>
      <c r="N186" s="36" t="str">
        <f>IF(A186&lt;0,'CAR PROMAX FILIAL CRUZ'!R180," ")</f>
        <v xml:space="preserve"> </v>
      </c>
      <c r="O186" s="37" t="str">
        <f>IF(A186&lt;0,'CAR PROMAX FILIAL CRUZ'!S180," ")</f>
        <v xml:space="preserve"> </v>
      </c>
      <c r="P186" s="37" t="str">
        <f>IF(A186&lt;0,'CAR PROMAX FILIAL CRUZ'!T180," ")</f>
        <v xml:space="preserve"> </v>
      </c>
      <c r="Q186" s="37" t="str">
        <f>IF(A186&lt;0,'CAR PROMAX FILIAL CRUZ'!U180," ")</f>
        <v xml:space="preserve"> </v>
      </c>
      <c r="R186" s="34" t="str">
        <f>IF(A186&lt;0,'CAR PROMAX FILIAL CRUZ'!V180," ")</f>
        <v xml:space="preserve"> </v>
      </c>
    </row>
    <row r="187" spans="1:18" x14ac:dyDescent="0.25">
      <c r="A187">
        <f>'CAR PROMAX FILIAL CRUZ'!O181</f>
        <v>0</v>
      </c>
      <c r="B187" s="33" t="str">
        <f t="shared" si="7"/>
        <v xml:space="preserve"> </v>
      </c>
      <c r="C187" s="33" t="str">
        <f t="shared" si="6"/>
        <v xml:space="preserve"> </v>
      </c>
      <c r="D187" s="34" t="str">
        <f>IF(A187&lt;0,'CAR PROMAX FILIAL CRUZ'!B181," ")</f>
        <v xml:space="preserve"> </v>
      </c>
      <c r="E187" s="35" t="str">
        <f>IF(A187&lt;0,'CAR PROMAX FILIAL CRUZ'!C181," ")</f>
        <v xml:space="preserve"> </v>
      </c>
      <c r="F187" s="34" t="str">
        <f>IF(A187&lt;0,'CAR PROMAX FILIAL CRUZ'!D181," ")</f>
        <v xml:space="preserve"> </v>
      </c>
      <c r="G187" s="34" t="str">
        <f>IF(A187&lt;0,'CAR PROMAX FILIAL CRUZ'!E181," ")</f>
        <v xml:space="preserve"> </v>
      </c>
      <c r="H187" s="34" t="str">
        <f>IF(A187&lt;0,'CAR PROMAX FILIAL CRUZ'!J181," ")</f>
        <v xml:space="preserve"> </v>
      </c>
      <c r="I187" s="34"/>
      <c r="J187" s="34"/>
      <c r="K187" s="34" t="str">
        <f>IF(A187&lt;0,'CAR PROMAX FILIAL CRUZ'!O181," ")</f>
        <v xml:space="preserve"> </v>
      </c>
      <c r="L187" s="36" t="str">
        <f>IF(A187&lt;0,'CAR PROMAX FILIAL CRUZ'!P181," ")</f>
        <v xml:space="preserve"> </v>
      </c>
      <c r="M187" s="36" t="str">
        <f>IF(A187&lt;0,'CAR PROMAX FILIAL CRUZ'!Q181," ")</f>
        <v xml:space="preserve"> </v>
      </c>
      <c r="N187" s="36" t="str">
        <f>IF(A187&lt;0,'CAR PROMAX FILIAL CRUZ'!R181," ")</f>
        <v xml:space="preserve"> </v>
      </c>
      <c r="O187" s="37" t="str">
        <f>IF(A187&lt;0,'CAR PROMAX FILIAL CRUZ'!S181," ")</f>
        <v xml:space="preserve"> </v>
      </c>
      <c r="P187" s="37" t="str">
        <f>IF(A187&lt;0,'CAR PROMAX FILIAL CRUZ'!T181," ")</f>
        <v xml:space="preserve"> </v>
      </c>
      <c r="Q187" s="37" t="str">
        <f>IF(A187&lt;0,'CAR PROMAX FILIAL CRUZ'!U181," ")</f>
        <v xml:space="preserve"> </v>
      </c>
      <c r="R187" s="34" t="str">
        <f>IF(A187&lt;0,'CAR PROMAX FILIAL CRUZ'!V181," ")</f>
        <v xml:space="preserve"> </v>
      </c>
    </row>
    <row r="188" spans="1:18" x14ac:dyDescent="0.25">
      <c r="A188">
        <f>'CAR PROMAX FILIAL CRUZ'!O182</f>
        <v>0</v>
      </c>
      <c r="B188" s="33" t="str">
        <f t="shared" si="7"/>
        <v xml:space="preserve"> </v>
      </c>
      <c r="C188" s="33" t="str">
        <f t="shared" si="6"/>
        <v xml:space="preserve"> </v>
      </c>
      <c r="D188" s="34" t="str">
        <f>IF(A188&lt;0,'CAR PROMAX FILIAL CRUZ'!B182," ")</f>
        <v xml:space="preserve"> </v>
      </c>
      <c r="E188" s="35" t="str">
        <f>IF(A188&lt;0,'CAR PROMAX FILIAL CRUZ'!C182," ")</f>
        <v xml:space="preserve"> </v>
      </c>
      <c r="F188" s="34" t="str">
        <f>IF(A188&lt;0,'CAR PROMAX FILIAL CRUZ'!D182," ")</f>
        <v xml:space="preserve"> </v>
      </c>
      <c r="G188" s="34" t="str">
        <f>IF(A188&lt;0,'CAR PROMAX FILIAL CRUZ'!E182," ")</f>
        <v xml:space="preserve"> </v>
      </c>
      <c r="H188" s="34" t="str">
        <f>IF(A188&lt;0,'CAR PROMAX FILIAL CRUZ'!J182," ")</f>
        <v xml:space="preserve"> </v>
      </c>
      <c r="I188" s="34"/>
      <c r="J188" s="34"/>
      <c r="K188" s="34" t="str">
        <f>IF(A188&lt;0,'CAR PROMAX FILIAL CRUZ'!O182," ")</f>
        <v xml:space="preserve"> </v>
      </c>
      <c r="L188" s="36" t="str">
        <f>IF(A188&lt;0,'CAR PROMAX FILIAL CRUZ'!P182," ")</f>
        <v xml:space="preserve"> </v>
      </c>
      <c r="M188" s="36" t="str">
        <f>IF(A188&lt;0,'CAR PROMAX FILIAL CRUZ'!Q182," ")</f>
        <v xml:space="preserve"> </v>
      </c>
      <c r="N188" s="36" t="str">
        <f>IF(A188&lt;0,'CAR PROMAX FILIAL CRUZ'!R182," ")</f>
        <v xml:space="preserve"> </v>
      </c>
      <c r="O188" s="37" t="str">
        <f>IF(A188&lt;0,'CAR PROMAX FILIAL CRUZ'!S182," ")</f>
        <v xml:space="preserve"> </v>
      </c>
      <c r="P188" s="37" t="str">
        <f>IF(A188&lt;0,'CAR PROMAX FILIAL CRUZ'!T182," ")</f>
        <v xml:space="preserve"> </v>
      </c>
      <c r="Q188" s="37" t="str">
        <f>IF(A188&lt;0,'CAR PROMAX FILIAL CRUZ'!U182," ")</f>
        <v xml:space="preserve"> </v>
      </c>
      <c r="R188" s="34" t="str">
        <f>IF(A188&lt;0,'CAR PROMAX FILIAL CRUZ'!V182," ")</f>
        <v xml:space="preserve"> </v>
      </c>
    </row>
    <row r="189" spans="1:18" x14ac:dyDescent="0.25">
      <c r="A189">
        <f>'CAR PROMAX FILIAL CRUZ'!O183</f>
        <v>0</v>
      </c>
      <c r="B189" s="33" t="str">
        <f t="shared" si="7"/>
        <v xml:space="preserve"> </v>
      </c>
      <c r="C189" s="33" t="str">
        <f t="shared" si="6"/>
        <v xml:space="preserve"> </v>
      </c>
      <c r="D189" s="34" t="str">
        <f>IF(A189&lt;0,'CAR PROMAX FILIAL CRUZ'!B183," ")</f>
        <v xml:space="preserve"> </v>
      </c>
      <c r="E189" s="35" t="str">
        <f>IF(A189&lt;0,'CAR PROMAX FILIAL CRUZ'!C183," ")</f>
        <v xml:space="preserve"> </v>
      </c>
      <c r="F189" s="34" t="str">
        <f>IF(A189&lt;0,'CAR PROMAX FILIAL CRUZ'!D183," ")</f>
        <v xml:space="preserve"> </v>
      </c>
      <c r="G189" s="34" t="str">
        <f>IF(A189&lt;0,'CAR PROMAX FILIAL CRUZ'!E183," ")</f>
        <v xml:space="preserve"> </v>
      </c>
      <c r="H189" s="34" t="str">
        <f>IF(A189&lt;0,'CAR PROMAX FILIAL CRUZ'!J183," ")</f>
        <v xml:space="preserve"> </v>
      </c>
      <c r="I189" s="34"/>
      <c r="J189" s="34"/>
      <c r="K189" s="34" t="str">
        <f>IF(A189&lt;0,'CAR PROMAX FILIAL CRUZ'!O183," ")</f>
        <v xml:space="preserve"> </v>
      </c>
      <c r="L189" s="36" t="str">
        <f>IF(A189&lt;0,'CAR PROMAX FILIAL CRUZ'!P183," ")</f>
        <v xml:space="preserve"> </v>
      </c>
      <c r="M189" s="36" t="str">
        <f>IF(A189&lt;0,'CAR PROMAX FILIAL CRUZ'!Q183," ")</f>
        <v xml:space="preserve"> </v>
      </c>
      <c r="N189" s="36" t="str">
        <f>IF(A189&lt;0,'CAR PROMAX FILIAL CRUZ'!R183," ")</f>
        <v xml:space="preserve"> </v>
      </c>
      <c r="O189" s="37" t="str">
        <f>IF(A189&lt;0,'CAR PROMAX FILIAL CRUZ'!S183," ")</f>
        <v xml:space="preserve"> </v>
      </c>
      <c r="P189" s="37" t="str">
        <f>IF(A189&lt;0,'CAR PROMAX FILIAL CRUZ'!T183," ")</f>
        <v xml:space="preserve"> </v>
      </c>
      <c r="Q189" s="37" t="str">
        <f>IF(A189&lt;0,'CAR PROMAX FILIAL CRUZ'!U183," ")</f>
        <v xml:space="preserve"> </v>
      </c>
      <c r="R189" s="34" t="str">
        <f>IF(A189&lt;0,'CAR PROMAX FILIAL CRUZ'!V183," ")</f>
        <v xml:space="preserve"> </v>
      </c>
    </row>
    <row r="190" spans="1:18" x14ac:dyDescent="0.25">
      <c r="A190">
        <f>'CAR PROMAX FILIAL CRUZ'!O184</f>
        <v>0</v>
      </c>
      <c r="B190" s="33" t="str">
        <f t="shared" si="7"/>
        <v xml:space="preserve"> </v>
      </c>
      <c r="C190" s="33" t="str">
        <f t="shared" si="6"/>
        <v xml:space="preserve"> </v>
      </c>
      <c r="D190" s="34" t="str">
        <f>IF(A190&lt;0,'CAR PROMAX FILIAL CRUZ'!B184," ")</f>
        <v xml:space="preserve"> </v>
      </c>
      <c r="E190" s="35" t="str">
        <f>IF(A190&lt;0,'CAR PROMAX FILIAL CRUZ'!C184," ")</f>
        <v xml:space="preserve"> </v>
      </c>
      <c r="F190" s="34" t="str">
        <f>IF(A190&lt;0,'CAR PROMAX FILIAL CRUZ'!D184," ")</f>
        <v xml:space="preserve"> </v>
      </c>
      <c r="G190" s="34" t="str">
        <f>IF(A190&lt;0,'CAR PROMAX FILIAL CRUZ'!E184," ")</f>
        <v xml:space="preserve"> </v>
      </c>
      <c r="H190" s="34" t="str">
        <f>IF(A190&lt;0,'CAR PROMAX FILIAL CRUZ'!J184," ")</f>
        <v xml:space="preserve"> </v>
      </c>
      <c r="I190" s="34"/>
      <c r="J190" s="34"/>
      <c r="K190" s="34" t="str">
        <f>IF(A190&lt;0,'CAR PROMAX FILIAL CRUZ'!O184," ")</f>
        <v xml:space="preserve"> </v>
      </c>
      <c r="L190" s="36" t="str">
        <f>IF(A190&lt;0,'CAR PROMAX FILIAL CRUZ'!P184," ")</f>
        <v xml:space="preserve"> </v>
      </c>
      <c r="M190" s="36" t="str">
        <f>IF(A190&lt;0,'CAR PROMAX FILIAL CRUZ'!Q184," ")</f>
        <v xml:space="preserve"> </v>
      </c>
      <c r="N190" s="36" t="str">
        <f>IF(A190&lt;0,'CAR PROMAX FILIAL CRUZ'!R184," ")</f>
        <v xml:space="preserve"> </v>
      </c>
      <c r="O190" s="37" t="str">
        <f>IF(A190&lt;0,'CAR PROMAX FILIAL CRUZ'!S184," ")</f>
        <v xml:space="preserve"> </v>
      </c>
      <c r="P190" s="37" t="str">
        <f>IF(A190&lt;0,'CAR PROMAX FILIAL CRUZ'!T184," ")</f>
        <v xml:space="preserve"> </v>
      </c>
      <c r="Q190" s="37" t="str">
        <f>IF(A190&lt;0,'CAR PROMAX FILIAL CRUZ'!U184," ")</f>
        <v xml:space="preserve"> </v>
      </c>
      <c r="R190" s="34" t="str">
        <f>IF(A190&lt;0,'CAR PROMAX FILIAL CRUZ'!V184," ")</f>
        <v xml:space="preserve"> </v>
      </c>
    </row>
    <row r="191" spans="1:18" x14ac:dyDescent="0.25">
      <c r="A191">
        <f>'CAR PROMAX FILIAL CRUZ'!O185</f>
        <v>0</v>
      </c>
      <c r="B191" s="33" t="str">
        <f t="shared" si="7"/>
        <v xml:space="preserve"> </v>
      </c>
      <c r="C191" s="33" t="str">
        <f t="shared" si="6"/>
        <v xml:space="preserve"> </v>
      </c>
      <c r="D191" s="34" t="str">
        <f>IF(A191&lt;0,'CAR PROMAX FILIAL CRUZ'!B185," ")</f>
        <v xml:space="preserve"> </v>
      </c>
      <c r="E191" s="35" t="str">
        <f>IF(A191&lt;0,'CAR PROMAX FILIAL CRUZ'!C185," ")</f>
        <v xml:space="preserve"> </v>
      </c>
      <c r="F191" s="34" t="str">
        <f>IF(A191&lt;0,'CAR PROMAX FILIAL CRUZ'!D185," ")</f>
        <v xml:space="preserve"> </v>
      </c>
      <c r="G191" s="34" t="str">
        <f>IF(A191&lt;0,'CAR PROMAX FILIAL CRUZ'!E185," ")</f>
        <v xml:space="preserve"> </v>
      </c>
      <c r="H191" s="34" t="str">
        <f>IF(A191&lt;0,'CAR PROMAX FILIAL CRUZ'!J185," ")</f>
        <v xml:space="preserve"> </v>
      </c>
      <c r="I191" s="34"/>
      <c r="J191" s="34"/>
      <c r="K191" s="34" t="str">
        <f>IF(A191&lt;0,'CAR PROMAX FILIAL CRUZ'!O185," ")</f>
        <v xml:space="preserve"> </v>
      </c>
      <c r="L191" s="36" t="str">
        <f>IF(A191&lt;0,'CAR PROMAX FILIAL CRUZ'!P185," ")</f>
        <v xml:space="preserve"> </v>
      </c>
      <c r="M191" s="36" t="str">
        <f>IF(A191&lt;0,'CAR PROMAX FILIAL CRUZ'!Q185," ")</f>
        <v xml:space="preserve"> </v>
      </c>
      <c r="N191" s="36" t="str">
        <f>IF(A191&lt;0,'CAR PROMAX FILIAL CRUZ'!R185," ")</f>
        <v xml:space="preserve"> </v>
      </c>
      <c r="O191" s="37" t="str">
        <f>IF(A191&lt;0,'CAR PROMAX FILIAL CRUZ'!S185," ")</f>
        <v xml:space="preserve"> </v>
      </c>
      <c r="P191" s="37" t="str">
        <f>IF(A191&lt;0,'CAR PROMAX FILIAL CRUZ'!T185," ")</f>
        <v xml:space="preserve"> </v>
      </c>
      <c r="Q191" s="37" t="str">
        <f>IF(A191&lt;0,'CAR PROMAX FILIAL CRUZ'!U185," ")</f>
        <v xml:space="preserve"> </v>
      </c>
      <c r="R191" s="34" t="str">
        <f>IF(A191&lt;0,'CAR PROMAX FILIAL CRUZ'!V185," ")</f>
        <v xml:space="preserve"> </v>
      </c>
    </row>
    <row r="192" spans="1:18" x14ac:dyDescent="0.25">
      <c r="A192">
        <f>'CAR PROMAX FILIAL CRUZ'!O186</f>
        <v>0</v>
      </c>
      <c r="B192" s="33" t="str">
        <f t="shared" si="7"/>
        <v xml:space="preserve"> </v>
      </c>
      <c r="C192" s="33" t="str">
        <f t="shared" si="6"/>
        <v xml:space="preserve"> </v>
      </c>
      <c r="D192" s="34" t="str">
        <f>IF(A192&lt;0,'CAR PROMAX FILIAL CRUZ'!B186," ")</f>
        <v xml:space="preserve"> </v>
      </c>
      <c r="E192" s="35" t="str">
        <f>IF(A192&lt;0,'CAR PROMAX FILIAL CRUZ'!C186," ")</f>
        <v xml:space="preserve"> </v>
      </c>
      <c r="F192" s="34" t="str">
        <f>IF(A192&lt;0,'CAR PROMAX FILIAL CRUZ'!D186," ")</f>
        <v xml:space="preserve"> </v>
      </c>
      <c r="G192" s="34" t="str">
        <f>IF(A192&lt;0,'CAR PROMAX FILIAL CRUZ'!E186," ")</f>
        <v xml:space="preserve"> </v>
      </c>
      <c r="H192" s="34" t="str">
        <f>IF(A192&lt;0,'CAR PROMAX FILIAL CRUZ'!J186," ")</f>
        <v xml:space="preserve"> </v>
      </c>
      <c r="I192" s="34"/>
      <c r="J192" s="34"/>
      <c r="K192" s="34" t="str">
        <f>IF(A192&lt;0,'CAR PROMAX FILIAL CRUZ'!O186," ")</f>
        <v xml:space="preserve"> </v>
      </c>
      <c r="L192" s="36" t="str">
        <f>IF(A192&lt;0,'CAR PROMAX FILIAL CRUZ'!P186," ")</f>
        <v xml:space="preserve"> </v>
      </c>
      <c r="M192" s="36" t="str">
        <f>IF(A192&lt;0,'CAR PROMAX FILIAL CRUZ'!Q186," ")</f>
        <v xml:space="preserve"> </v>
      </c>
      <c r="N192" s="36" t="str">
        <f>IF(A192&lt;0,'CAR PROMAX FILIAL CRUZ'!R186," ")</f>
        <v xml:space="preserve"> </v>
      </c>
      <c r="O192" s="37" t="str">
        <f>IF(A192&lt;0,'CAR PROMAX FILIAL CRUZ'!S186," ")</f>
        <v xml:space="preserve"> </v>
      </c>
      <c r="P192" s="37" t="str">
        <f>IF(A192&lt;0,'CAR PROMAX FILIAL CRUZ'!T186," ")</f>
        <v xml:space="preserve"> </v>
      </c>
      <c r="Q192" s="37" t="str">
        <f>IF(A192&lt;0,'CAR PROMAX FILIAL CRUZ'!U186," ")</f>
        <v xml:space="preserve"> </v>
      </c>
      <c r="R192" s="34" t="str">
        <f>IF(A192&lt;0,'CAR PROMAX FILIAL CRUZ'!V186," ")</f>
        <v xml:space="preserve"> </v>
      </c>
    </row>
    <row r="193" spans="1:18" x14ac:dyDescent="0.25">
      <c r="A193">
        <f>'CAR PROMAX FILIAL CRUZ'!O187</f>
        <v>0</v>
      </c>
      <c r="B193" s="33" t="str">
        <f t="shared" si="7"/>
        <v xml:space="preserve"> </v>
      </c>
      <c r="C193" s="33" t="str">
        <f t="shared" si="6"/>
        <v xml:space="preserve"> </v>
      </c>
      <c r="D193" s="34" t="str">
        <f>IF(A193&lt;0,'CAR PROMAX FILIAL CRUZ'!B187," ")</f>
        <v xml:space="preserve"> </v>
      </c>
      <c r="E193" s="35" t="str">
        <f>IF(A193&lt;0,'CAR PROMAX FILIAL CRUZ'!C187," ")</f>
        <v xml:space="preserve"> </v>
      </c>
      <c r="F193" s="34" t="str">
        <f>IF(A193&lt;0,'CAR PROMAX FILIAL CRUZ'!D187," ")</f>
        <v xml:space="preserve"> </v>
      </c>
      <c r="G193" s="34" t="str">
        <f>IF(A193&lt;0,'CAR PROMAX FILIAL CRUZ'!E187," ")</f>
        <v xml:space="preserve"> </v>
      </c>
      <c r="H193" s="34" t="str">
        <f>IF(A193&lt;0,'CAR PROMAX FILIAL CRUZ'!J187," ")</f>
        <v xml:space="preserve"> </v>
      </c>
      <c r="I193" s="34"/>
      <c r="J193" s="34"/>
      <c r="K193" s="34" t="str">
        <f>IF(A193&lt;0,'CAR PROMAX FILIAL CRUZ'!O187," ")</f>
        <v xml:space="preserve"> </v>
      </c>
      <c r="L193" s="36" t="str">
        <f>IF(A193&lt;0,'CAR PROMAX FILIAL CRUZ'!P187," ")</f>
        <v xml:space="preserve"> </v>
      </c>
      <c r="M193" s="36" t="str">
        <f>IF(A193&lt;0,'CAR PROMAX FILIAL CRUZ'!Q187," ")</f>
        <v xml:space="preserve"> </v>
      </c>
      <c r="N193" s="36" t="str">
        <f>IF(A193&lt;0,'CAR PROMAX FILIAL CRUZ'!R187," ")</f>
        <v xml:space="preserve"> </v>
      </c>
      <c r="O193" s="37" t="str">
        <f>IF(A193&lt;0,'CAR PROMAX FILIAL CRUZ'!S187," ")</f>
        <v xml:space="preserve"> </v>
      </c>
      <c r="P193" s="37" t="str">
        <f>IF(A193&lt;0,'CAR PROMAX FILIAL CRUZ'!T187," ")</f>
        <v xml:space="preserve"> </v>
      </c>
      <c r="Q193" s="37" t="str">
        <f>IF(A193&lt;0,'CAR PROMAX FILIAL CRUZ'!U187," ")</f>
        <v xml:space="preserve"> </v>
      </c>
      <c r="R193" s="34" t="str">
        <f>IF(A193&lt;0,'CAR PROMAX FILIAL CRUZ'!V187," ")</f>
        <v xml:space="preserve"> </v>
      </c>
    </row>
    <row r="194" spans="1:18" x14ac:dyDescent="0.25">
      <c r="A194">
        <f>'CAR PROMAX FILIAL CRUZ'!O188</f>
        <v>0</v>
      </c>
      <c r="B194" s="33" t="str">
        <f t="shared" si="7"/>
        <v xml:space="preserve"> </v>
      </c>
      <c r="C194" s="33" t="str">
        <f t="shared" si="6"/>
        <v xml:space="preserve"> </v>
      </c>
      <c r="D194" s="34" t="str">
        <f>IF(A194&lt;0,'CAR PROMAX FILIAL CRUZ'!B188," ")</f>
        <v xml:space="preserve"> </v>
      </c>
      <c r="E194" s="35" t="str">
        <f>IF(A194&lt;0,'CAR PROMAX FILIAL CRUZ'!C188," ")</f>
        <v xml:space="preserve"> </v>
      </c>
      <c r="F194" s="34" t="str">
        <f>IF(A194&lt;0,'CAR PROMAX FILIAL CRUZ'!D188," ")</f>
        <v xml:space="preserve"> </v>
      </c>
      <c r="G194" s="34" t="str">
        <f>IF(A194&lt;0,'CAR PROMAX FILIAL CRUZ'!E188," ")</f>
        <v xml:space="preserve"> </v>
      </c>
      <c r="H194" s="34" t="str">
        <f>IF(A194&lt;0,'CAR PROMAX FILIAL CRUZ'!J188," ")</f>
        <v xml:space="preserve"> </v>
      </c>
      <c r="I194" s="34"/>
      <c r="J194" s="34"/>
      <c r="K194" s="34" t="str">
        <f>IF(A194&lt;0,'CAR PROMAX FILIAL CRUZ'!O188," ")</f>
        <v xml:space="preserve"> </v>
      </c>
      <c r="L194" s="36" t="str">
        <f>IF(A194&lt;0,'CAR PROMAX FILIAL CRUZ'!P188," ")</f>
        <v xml:space="preserve"> </v>
      </c>
      <c r="M194" s="36" t="str">
        <f>IF(A194&lt;0,'CAR PROMAX FILIAL CRUZ'!Q188," ")</f>
        <v xml:space="preserve"> </v>
      </c>
      <c r="N194" s="36" t="str">
        <f>IF(A194&lt;0,'CAR PROMAX FILIAL CRUZ'!R188," ")</f>
        <v xml:space="preserve"> </v>
      </c>
      <c r="O194" s="37" t="str">
        <f>IF(A194&lt;0,'CAR PROMAX FILIAL CRUZ'!S188," ")</f>
        <v xml:space="preserve"> </v>
      </c>
      <c r="P194" s="37" t="str">
        <f>IF(A194&lt;0,'CAR PROMAX FILIAL CRUZ'!T188," ")</f>
        <v xml:space="preserve"> </v>
      </c>
      <c r="Q194" s="37" t="str">
        <f>IF(A194&lt;0,'CAR PROMAX FILIAL CRUZ'!U188," ")</f>
        <v xml:space="preserve"> </v>
      </c>
      <c r="R194" s="34" t="str">
        <f>IF(A194&lt;0,'CAR PROMAX FILIAL CRUZ'!V188," ")</f>
        <v xml:space="preserve"> </v>
      </c>
    </row>
    <row r="195" spans="1:18" x14ac:dyDescent="0.25">
      <c r="A195">
        <f>'CAR PROMAX FILIAL CRUZ'!O189</f>
        <v>0</v>
      </c>
      <c r="B195" s="33" t="str">
        <f t="shared" si="7"/>
        <v xml:space="preserve"> </v>
      </c>
      <c r="C195" s="33" t="str">
        <f t="shared" si="6"/>
        <v xml:space="preserve"> </v>
      </c>
      <c r="D195" s="34" t="str">
        <f>IF(A195&lt;0,'CAR PROMAX FILIAL CRUZ'!B189," ")</f>
        <v xml:space="preserve"> </v>
      </c>
      <c r="E195" s="35" t="str">
        <f>IF(A195&lt;0,'CAR PROMAX FILIAL CRUZ'!C189," ")</f>
        <v xml:space="preserve"> </v>
      </c>
      <c r="F195" s="34" t="str">
        <f>IF(A195&lt;0,'CAR PROMAX FILIAL CRUZ'!D189," ")</f>
        <v xml:space="preserve"> </v>
      </c>
      <c r="G195" s="34" t="str">
        <f>IF(A195&lt;0,'CAR PROMAX FILIAL CRUZ'!E189," ")</f>
        <v xml:space="preserve"> </v>
      </c>
      <c r="H195" s="34" t="str">
        <f>IF(A195&lt;0,'CAR PROMAX FILIAL CRUZ'!J189," ")</f>
        <v xml:space="preserve"> </v>
      </c>
      <c r="I195" s="34"/>
      <c r="J195" s="34"/>
      <c r="K195" s="34" t="str">
        <f>IF(A195&lt;0,'CAR PROMAX FILIAL CRUZ'!O189," ")</f>
        <v xml:space="preserve"> </v>
      </c>
      <c r="L195" s="36" t="str">
        <f>IF(A195&lt;0,'CAR PROMAX FILIAL CRUZ'!P189," ")</f>
        <v xml:space="preserve"> </v>
      </c>
      <c r="M195" s="36" t="str">
        <f>IF(A195&lt;0,'CAR PROMAX FILIAL CRUZ'!Q189," ")</f>
        <v xml:space="preserve"> </v>
      </c>
      <c r="N195" s="36" t="str">
        <f>IF(A195&lt;0,'CAR PROMAX FILIAL CRUZ'!R189," ")</f>
        <v xml:space="preserve"> </v>
      </c>
      <c r="O195" s="37" t="str">
        <f>IF(A195&lt;0,'CAR PROMAX FILIAL CRUZ'!S189," ")</f>
        <v xml:space="preserve"> </v>
      </c>
      <c r="P195" s="37" t="str">
        <f>IF(A195&lt;0,'CAR PROMAX FILIAL CRUZ'!T189," ")</f>
        <v xml:space="preserve"> </v>
      </c>
      <c r="Q195" s="37" t="str">
        <f>IF(A195&lt;0,'CAR PROMAX FILIAL CRUZ'!U189," ")</f>
        <v xml:space="preserve"> </v>
      </c>
      <c r="R195" s="34" t="str">
        <f>IF(A195&lt;0,'CAR PROMAX FILIAL CRUZ'!V189," ")</f>
        <v xml:space="preserve"> </v>
      </c>
    </row>
    <row r="196" spans="1:18" x14ac:dyDescent="0.25">
      <c r="A196">
        <f>'CAR PROMAX FILIAL CRUZ'!O190</f>
        <v>0</v>
      </c>
      <c r="B196" s="33" t="str">
        <f t="shared" si="7"/>
        <v xml:space="preserve"> </v>
      </c>
      <c r="C196" s="33" t="str">
        <f t="shared" si="6"/>
        <v xml:space="preserve"> </v>
      </c>
      <c r="D196" s="34" t="str">
        <f>IF(A196&lt;0,'CAR PROMAX FILIAL CRUZ'!B190," ")</f>
        <v xml:space="preserve"> </v>
      </c>
      <c r="E196" s="35" t="str">
        <f>IF(A196&lt;0,'CAR PROMAX FILIAL CRUZ'!C190," ")</f>
        <v xml:space="preserve"> </v>
      </c>
      <c r="F196" s="34" t="str">
        <f>IF(A196&lt;0,'CAR PROMAX FILIAL CRUZ'!D190," ")</f>
        <v xml:space="preserve"> </v>
      </c>
      <c r="G196" s="34" t="str">
        <f>IF(A196&lt;0,'CAR PROMAX FILIAL CRUZ'!E190," ")</f>
        <v xml:space="preserve"> </v>
      </c>
      <c r="H196" s="34" t="str">
        <f>IF(A196&lt;0,'CAR PROMAX FILIAL CRUZ'!J190," ")</f>
        <v xml:space="preserve"> </v>
      </c>
      <c r="I196" s="34"/>
      <c r="J196" s="34"/>
      <c r="K196" s="34" t="str">
        <f>IF(A196&lt;0,'CAR PROMAX FILIAL CRUZ'!O190," ")</f>
        <v xml:space="preserve"> </v>
      </c>
      <c r="L196" s="36" t="str">
        <f>IF(A196&lt;0,'CAR PROMAX FILIAL CRUZ'!P190," ")</f>
        <v xml:space="preserve"> </v>
      </c>
      <c r="M196" s="36" t="str">
        <f>IF(A196&lt;0,'CAR PROMAX FILIAL CRUZ'!Q190," ")</f>
        <v xml:space="preserve"> </v>
      </c>
      <c r="N196" s="36" t="str">
        <f>IF(A196&lt;0,'CAR PROMAX FILIAL CRUZ'!R190," ")</f>
        <v xml:space="preserve"> </v>
      </c>
      <c r="O196" s="37" t="str">
        <f>IF(A196&lt;0,'CAR PROMAX FILIAL CRUZ'!S190," ")</f>
        <v xml:space="preserve"> </v>
      </c>
      <c r="P196" s="37" t="str">
        <f>IF(A196&lt;0,'CAR PROMAX FILIAL CRUZ'!T190," ")</f>
        <v xml:space="preserve"> </v>
      </c>
      <c r="Q196" s="37" t="str">
        <f>IF(A196&lt;0,'CAR PROMAX FILIAL CRUZ'!U190," ")</f>
        <v xml:space="preserve"> </v>
      </c>
      <c r="R196" s="34" t="str">
        <f>IF(A196&lt;0,'CAR PROMAX FILIAL CRUZ'!V190," ")</f>
        <v xml:space="preserve"> </v>
      </c>
    </row>
    <row r="197" spans="1:18" x14ac:dyDescent="0.25">
      <c r="A197">
        <f>'CAR PROMAX FILIAL CRUZ'!O191</f>
        <v>0</v>
      </c>
      <c r="B197" s="33" t="str">
        <f t="shared" si="7"/>
        <v xml:space="preserve"> </v>
      </c>
      <c r="C197" s="33" t="str">
        <f t="shared" si="6"/>
        <v xml:space="preserve"> </v>
      </c>
      <c r="D197" s="34" t="str">
        <f>IF(A197&lt;0,'CAR PROMAX FILIAL CRUZ'!B191," ")</f>
        <v xml:space="preserve"> </v>
      </c>
      <c r="E197" s="35" t="str">
        <f>IF(A197&lt;0,'CAR PROMAX FILIAL CRUZ'!C191," ")</f>
        <v xml:space="preserve"> </v>
      </c>
      <c r="F197" s="34" t="str">
        <f>IF(A197&lt;0,'CAR PROMAX FILIAL CRUZ'!D191," ")</f>
        <v xml:space="preserve"> </v>
      </c>
      <c r="G197" s="34" t="str">
        <f>IF(A197&lt;0,'CAR PROMAX FILIAL CRUZ'!E191," ")</f>
        <v xml:space="preserve"> </v>
      </c>
      <c r="H197" s="34" t="str">
        <f>IF(A197&lt;0,'CAR PROMAX FILIAL CRUZ'!J191," ")</f>
        <v xml:space="preserve"> </v>
      </c>
      <c r="I197" s="34"/>
      <c r="J197" s="34"/>
      <c r="K197" s="34" t="str">
        <f>IF(A197&lt;0,'CAR PROMAX FILIAL CRUZ'!O191," ")</f>
        <v xml:space="preserve"> </v>
      </c>
      <c r="L197" s="36" t="str">
        <f>IF(A197&lt;0,'CAR PROMAX FILIAL CRUZ'!P191," ")</f>
        <v xml:space="preserve"> </v>
      </c>
      <c r="M197" s="36" t="str">
        <f>IF(A197&lt;0,'CAR PROMAX FILIAL CRUZ'!Q191," ")</f>
        <v xml:space="preserve"> </v>
      </c>
      <c r="N197" s="36" t="str">
        <f>IF(A197&lt;0,'CAR PROMAX FILIAL CRUZ'!R191," ")</f>
        <v xml:space="preserve"> </v>
      </c>
      <c r="O197" s="37" t="str">
        <f>IF(A197&lt;0,'CAR PROMAX FILIAL CRUZ'!S191," ")</f>
        <v xml:space="preserve"> </v>
      </c>
      <c r="P197" s="37" t="str">
        <f>IF(A197&lt;0,'CAR PROMAX FILIAL CRUZ'!T191," ")</f>
        <v xml:space="preserve"> </v>
      </c>
      <c r="Q197" s="37" t="str">
        <f>IF(A197&lt;0,'CAR PROMAX FILIAL CRUZ'!U191," ")</f>
        <v xml:space="preserve"> </v>
      </c>
      <c r="R197" s="34" t="str">
        <f>IF(A197&lt;0,'CAR PROMAX FILIAL CRUZ'!V191," ")</f>
        <v xml:space="preserve"> </v>
      </c>
    </row>
    <row r="198" spans="1:18" x14ac:dyDescent="0.25">
      <c r="A198">
        <f>'CAR PROMAX FILIAL CRUZ'!O192</f>
        <v>0</v>
      </c>
      <c r="B198" s="33" t="str">
        <f t="shared" si="7"/>
        <v xml:space="preserve"> </v>
      </c>
      <c r="C198" s="33" t="str">
        <f t="shared" si="6"/>
        <v xml:space="preserve"> </v>
      </c>
      <c r="D198" s="34" t="str">
        <f>IF(A198&lt;0,'CAR PROMAX FILIAL CRUZ'!B192," ")</f>
        <v xml:space="preserve"> </v>
      </c>
      <c r="E198" s="35" t="str">
        <f>IF(A198&lt;0,'CAR PROMAX FILIAL CRUZ'!C192," ")</f>
        <v xml:space="preserve"> </v>
      </c>
      <c r="F198" s="34" t="str">
        <f>IF(A198&lt;0,'CAR PROMAX FILIAL CRUZ'!D192," ")</f>
        <v xml:space="preserve"> </v>
      </c>
      <c r="G198" s="34" t="str">
        <f>IF(A198&lt;0,'CAR PROMAX FILIAL CRUZ'!E192," ")</f>
        <v xml:space="preserve"> </v>
      </c>
      <c r="H198" s="34" t="str">
        <f>IF(A198&lt;0,'CAR PROMAX FILIAL CRUZ'!J192," ")</f>
        <v xml:space="preserve"> </v>
      </c>
      <c r="I198" s="34"/>
      <c r="J198" s="34"/>
      <c r="K198" s="34" t="str">
        <f>IF(A198&lt;0,'CAR PROMAX FILIAL CRUZ'!O192," ")</f>
        <v xml:space="preserve"> </v>
      </c>
      <c r="L198" s="36" t="str">
        <f>IF(A198&lt;0,'CAR PROMAX FILIAL CRUZ'!P192," ")</f>
        <v xml:space="preserve"> </v>
      </c>
      <c r="M198" s="36" t="str">
        <f>IF(A198&lt;0,'CAR PROMAX FILIAL CRUZ'!Q192," ")</f>
        <v xml:space="preserve"> </v>
      </c>
      <c r="N198" s="36" t="str">
        <f>IF(A198&lt;0,'CAR PROMAX FILIAL CRUZ'!R192," ")</f>
        <v xml:space="preserve"> </v>
      </c>
      <c r="O198" s="37" t="str">
        <f>IF(A198&lt;0,'CAR PROMAX FILIAL CRUZ'!S192," ")</f>
        <v xml:space="preserve"> </v>
      </c>
      <c r="P198" s="37" t="str">
        <f>IF(A198&lt;0,'CAR PROMAX FILIAL CRUZ'!T192," ")</f>
        <v xml:space="preserve"> </v>
      </c>
      <c r="Q198" s="37" t="str">
        <f>IF(A198&lt;0,'CAR PROMAX FILIAL CRUZ'!U192," ")</f>
        <v xml:space="preserve"> </v>
      </c>
      <c r="R198" s="34" t="str">
        <f>IF(A198&lt;0,'CAR PROMAX FILIAL CRUZ'!V192," ")</f>
        <v xml:space="preserve"> </v>
      </c>
    </row>
    <row r="199" spans="1:18" x14ac:dyDescent="0.25">
      <c r="A199">
        <f>'CAR PROMAX FILIAL CRUZ'!O193</f>
        <v>0</v>
      </c>
      <c r="B199" s="33" t="str">
        <f t="shared" si="7"/>
        <v xml:space="preserve"> </v>
      </c>
      <c r="C199" s="33" t="str">
        <f t="shared" si="6"/>
        <v xml:space="preserve"> </v>
      </c>
      <c r="D199" s="34" t="str">
        <f>IF(A199&lt;0,'CAR PROMAX FILIAL CRUZ'!B193," ")</f>
        <v xml:space="preserve"> </v>
      </c>
      <c r="E199" s="35" t="str">
        <f>IF(A199&lt;0,'CAR PROMAX FILIAL CRUZ'!C193," ")</f>
        <v xml:space="preserve"> </v>
      </c>
      <c r="F199" s="34" t="str">
        <f>IF(A199&lt;0,'CAR PROMAX FILIAL CRUZ'!D193," ")</f>
        <v xml:space="preserve"> </v>
      </c>
      <c r="G199" s="34" t="str">
        <f>IF(A199&lt;0,'CAR PROMAX FILIAL CRUZ'!E193," ")</f>
        <v xml:space="preserve"> </v>
      </c>
      <c r="H199" s="34" t="str">
        <f>IF(A199&lt;0,'CAR PROMAX FILIAL CRUZ'!J193," ")</f>
        <v xml:space="preserve"> </v>
      </c>
      <c r="I199" s="34"/>
      <c r="J199" s="34"/>
      <c r="K199" s="34" t="str">
        <f>IF(A199&lt;0,'CAR PROMAX FILIAL CRUZ'!O193," ")</f>
        <v xml:space="preserve"> </v>
      </c>
      <c r="L199" s="36" t="str">
        <f>IF(A199&lt;0,'CAR PROMAX FILIAL CRUZ'!P193," ")</f>
        <v xml:space="preserve"> </v>
      </c>
      <c r="M199" s="36" t="str">
        <f>IF(A199&lt;0,'CAR PROMAX FILIAL CRUZ'!Q193," ")</f>
        <v xml:space="preserve"> </v>
      </c>
      <c r="N199" s="36" t="str">
        <f>IF(A199&lt;0,'CAR PROMAX FILIAL CRUZ'!R193," ")</f>
        <v xml:space="preserve"> </v>
      </c>
      <c r="O199" s="37" t="str">
        <f>IF(A199&lt;0,'CAR PROMAX FILIAL CRUZ'!S193," ")</f>
        <v xml:space="preserve"> </v>
      </c>
      <c r="P199" s="37" t="str">
        <f>IF(A199&lt;0,'CAR PROMAX FILIAL CRUZ'!T193," ")</f>
        <v xml:space="preserve"> </v>
      </c>
      <c r="Q199" s="37" t="str">
        <f>IF(A199&lt;0,'CAR PROMAX FILIAL CRUZ'!U193," ")</f>
        <v xml:space="preserve"> </v>
      </c>
      <c r="R199" s="34" t="str">
        <f>IF(A199&lt;0,'CAR PROMAX FILIAL CRUZ'!V193," ")</f>
        <v xml:space="preserve"> </v>
      </c>
    </row>
    <row r="200" spans="1:18" x14ac:dyDescent="0.25">
      <c r="A200">
        <f>'CAR PROMAX FILIAL CRUZ'!O194</f>
        <v>0</v>
      </c>
      <c r="B200" s="33" t="str">
        <f t="shared" si="7"/>
        <v xml:space="preserve"> </v>
      </c>
      <c r="C200" s="33" t="str">
        <f t="shared" ref="C200:C263" si="8">IF(K200&lt;0,IF(K200&gt;-16,"RN",IF(K200&gt;-46,"GV","GC"))," ")</f>
        <v xml:space="preserve"> </v>
      </c>
      <c r="D200" s="34" t="str">
        <f>IF(A200&lt;0,'CAR PROMAX FILIAL CRUZ'!B194," ")</f>
        <v xml:space="preserve"> </v>
      </c>
      <c r="E200" s="35" t="str">
        <f>IF(A200&lt;0,'CAR PROMAX FILIAL CRUZ'!C194," ")</f>
        <v xml:space="preserve"> </v>
      </c>
      <c r="F200" s="34" t="str">
        <f>IF(A200&lt;0,'CAR PROMAX FILIAL CRUZ'!D194," ")</f>
        <v xml:space="preserve"> </v>
      </c>
      <c r="G200" s="34" t="str">
        <f>IF(A200&lt;0,'CAR PROMAX FILIAL CRUZ'!E194," ")</f>
        <v xml:space="preserve"> </v>
      </c>
      <c r="H200" s="34" t="str">
        <f>IF(A200&lt;0,'CAR PROMAX FILIAL CRUZ'!J194," ")</f>
        <v xml:space="preserve"> </v>
      </c>
      <c r="I200" s="34"/>
      <c r="J200" s="34"/>
      <c r="K200" s="34" t="str">
        <f>IF(A200&lt;0,'CAR PROMAX FILIAL CRUZ'!O194," ")</f>
        <v xml:space="preserve"> </v>
      </c>
      <c r="L200" s="36" t="str">
        <f>IF(A200&lt;0,'CAR PROMAX FILIAL CRUZ'!P194," ")</f>
        <v xml:space="preserve"> </v>
      </c>
      <c r="M200" s="36" t="str">
        <f>IF(A200&lt;0,'CAR PROMAX FILIAL CRUZ'!Q194," ")</f>
        <v xml:space="preserve"> </v>
      </c>
      <c r="N200" s="36" t="str">
        <f>IF(A200&lt;0,'CAR PROMAX FILIAL CRUZ'!R194," ")</f>
        <v xml:space="preserve"> </v>
      </c>
      <c r="O200" s="37" t="str">
        <f>IF(A200&lt;0,'CAR PROMAX FILIAL CRUZ'!S194," ")</f>
        <v xml:space="preserve"> </v>
      </c>
      <c r="P200" s="37" t="str">
        <f>IF(A200&lt;0,'CAR PROMAX FILIAL CRUZ'!T194," ")</f>
        <v xml:space="preserve"> </v>
      </c>
      <c r="Q200" s="37" t="str">
        <f>IF(A200&lt;0,'CAR PROMAX FILIAL CRUZ'!U194," ")</f>
        <v xml:space="preserve"> </v>
      </c>
      <c r="R200" s="34" t="str">
        <f>IF(A200&lt;0,'CAR PROMAX FILIAL CRUZ'!V194," ")</f>
        <v xml:space="preserve"> </v>
      </c>
    </row>
    <row r="201" spans="1:18" x14ac:dyDescent="0.25">
      <c r="A201">
        <f>'CAR PROMAX FILIAL CRUZ'!O195</f>
        <v>0</v>
      </c>
      <c r="B201" s="33" t="str">
        <f t="shared" si="7"/>
        <v xml:space="preserve"> </v>
      </c>
      <c r="C201" s="33" t="str">
        <f t="shared" si="8"/>
        <v xml:space="preserve"> </v>
      </c>
      <c r="D201" s="34" t="str">
        <f>IF(A201&lt;0,'CAR PROMAX FILIAL CRUZ'!B195," ")</f>
        <v xml:space="preserve"> </v>
      </c>
      <c r="E201" s="35" t="str">
        <f>IF(A201&lt;0,'CAR PROMAX FILIAL CRUZ'!C195," ")</f>
        <v xml:space="preserve"> </v>
      </c>
      <c r="F201" s="34" t="str">
        <f>IF(A201&lt;0,'CAR PROMAX FILIAL CRUZ'!D195," ")</f>
        <v xml:space="preserve"> </v>
      </c>
      <c r="G201" s="34" t="str">
        <f>IF(A201&lt;0,'CAR PROMAX FILIAL CRUZ'!E195," ")</f>
        <v xml:space="preserve"> </v>
      </c>
      <c r="H201" s="34" t="str">
        <f>IF(A201&lt;0,'CAR PROMAX FILIAL CRUZ'!J195," ")</f>
        <v xml:space="preserve"> </v>
      </c>
      <c r="I201" s="34"/>
      <c r="J201" s="34"/>
      <c r="K201" s="34" t="str">
        <f>IF(A201&lt;0,'CAR PROMAX FILIAL CRUZ'!O195," ")</f>
        <v xml:space="preserve"> </v>
      </c>
      <c r="L201" s="36" t="str">
        <f>IF(A201&lt;0,'CAR PROMAX FILIAL CRUZ'!P195," ")</f>
        <v xml:space="preserve"> </v>
      </c>
      <c r="M201" s="36" t="str">
        <f>IF(A201&lt;0,'CAR PROMAX FILIAL CRUZ'!Q195," ")</f>
        <v xml:space="preserve"> </v>
      </c>
      <c r="N201" s="36" t="str">
        <f>IF(A201&lt;0,'CAR PROMAX FILIAL CRUZ'!R195," ")</f>
        <v xml:space="preserve"> </v>
      </c>
      <c r="O201" s="37" t="str">
        <f>IF(A201&lt;0,'CAR PROMAX FILIAL CRUZ'!S195," ")</f>
        <v xml:space="preserve"> </v>
      </c>
      <c r="P201" s="37" t="str">
        <f>IF(A201&lt;0,'CAR PROMAX FILIAL CRUZ'!T195," ")</f>
        <v xml:space="preserve"> </v>
      </c>
      <c r="Q201" s="37" t="str">
        <f>IF(A201&lt;0,'CAR PROMAX FILIAL CRUZ'!U195," ")</f>
        <v xml:space="preserve"> </v>
      </c>
      <c r="R201" s="34" t="str">
        <f>IF(A201&lt;0,'CAR PROMAX FILIAL CRUZ'!V195," ")</f>
        <v xml:space="preserve"> </v>
      </c>
    </row>
    <row r="202" spans="1:18" x14ac:dyDescent="0.25">
      <c r="A202">
        <f>'CAR PROMAX FILIAL CRUZ'!O196</f>
        <v>0</v>
      </c>
      <c r="B202" s="33" t="str">
        <f t="shared" si="7"/>
        <v xml:space="preserve"> </v>
      </c>
      <c r="C202" s="33" t="str">
        <f t="shared" si="8"/>
        <v xml:space="preserve"> </v>
      </c>
      <c r="D202" s="34" t="str">
        <f>IF(A202&lt;0,'CAR PROMAX FILIAL CRUZ'!B196," ")</f>
        <v xml:space="preserve"> </v>
      </c>
      <c r="E202" s="35" t="str">
        <f>IF(A202&lt;0,'CAR PROMAX FILIAL CRUZ'!C196," ")</f>
        <v xml:space="preserve"> </v>
      </c>
      <c r="F202" s="34" t="str">
        <f>IF(A202&lt;0,'CAR PROMAX FILIAL CRUZ'!D196," ")</f>
        <v xml:space="preserve"> </v>
      </c>
      <c r="G202" s="34" t="str">
        <f>IF(A202&lt;0,'CAR PROMAX FILIAL CRUZ'!E196," ")</f>
        <v xml:space="preserve"> </v>
      </c>
      <c r="H202" s="34" t="str">
        <f>IF(A202&lt;0,'CAR PROMAX FILIAL CRUZ'!J196," ")</f>
        <v xml:space="preserve"> </v>
      </c>
      <c r="I202" s="34"/>
      <c r="J202" s="34"/>
      <c r="K202" s="34" t="str">
        <f>IF(A202&lt;0,'CAR PROMAX FILIAL CRUZ'!O196," ")</f>
        <v xml:space="preserve"> </v>
      </c>
      <c r="L202" s="36" t="str">
        <f>IF(A202&lt;0,'CAR PROMAX FILIAL CRUZ'!P196," ")</f>
        <v xml:space="preserve"> </v>
      </c>
      <c r="M202" s="36" t="str">
        <f>IF(A202&lt;0,'CAR PROMAX FILIAL CRUZ'!Q196," ")</f>
        <v xml:space="preserve"> </v>
      </c>
      <c r="N202" s="36" t="str">
        <f>IF(A202&lt;0,'CAR PROMAX FILIAL CRUZ'!R196," ")</f>
        <v xml:space="preserve"> </v>
      </c>
      <c r="O202" s="37" t="str">
        <f>IF(A202&lt;0,'CAR PROMAX FILIAL CRUZ'!S196," ")</f>
        <v xml:space="preserve"> </v>
      </c>
      <c r="P202" s="37" t="str">
        <f>IF(A202&lt;0,'CAR PROMAX FILIAL CRUZ'!T196," ")</f>
        <v xml:space="preserve"> </v>
      </c>
      <c r="Q202" s="37" t="str">
        <f>IF(A202&lt;0,'CAR PROMAX FILIAL CRUZ'!U196," ")</f>
        <v xml:space="preserve"> </v>
      </c>
      <c r="R202" s="34" t="str">
        <f>IF(A202&lt;0,'CAR PROMAX FILIAL CRUZ'!V196," ")</f>
        <v xml:space="preserve"> </v>
      </c>
    </row>
    <row r="203" spans="1:18" x14ac:dyDescent="0.25">
      <c r="A203">
        <f>'CAR PROMAX FILIAL CRUZ'!O197</f>
        <v>0</v>
      </c>
      <c r="B203" s="33" t="str">
        <f t="shared" si="7"/>
        <v xml:space="preserve"> </v>
      </c>
      <c r="C203" s="33" t="str">
        <f t="shared" si="8"/>
        <v xml:space="preserve"> </v>
      </c>
      <c r="D203" s="34" t="str">
        <f>IF(A203&lt;0,'CAR PROMAX FILIAL CRUZ'!B197," ")</f>
        <v xml:space="preserve"> </v>
      </c>
      <c r="E203" s="35" t="str">
        <f>IF(A203&lt;0,'CAR PROMAX FILIAL CRUZ'!C197," ")</f>
        <v xml:space="preserve"> </v>
      </c>
      <c r="F203" s="34" t="str">
        <f>IF(A203&lt;0,'CAR PROMAX FILIAL CRUZ'!D197," ")</f>
        <v xml:space="preserve"> </v>
      </c>
      <c r="G203" s="34" t="str">
        <f>IF(A203&lt;0,'CAR PROMAX FILIAL CRUZ'!E197," ")</f>
        <v xml:space="preserve"> </v>
      </c>
      <c r="H203" s="34" t="str">
        <f>IF(A203&lt;0,'CAR PROMAX FILIAL CRUZ'!J197," ")</f>
        <v xml:space="preserve"> </v>
      </c>
      <c r="I203" s="34"/>
      <c r="J203" s="34"/>
      <c r="K203" s="34" t="str">
        <f>IF(A203&lt;0,'CAR PROMAX FILIAL CRUZ'!O197," ")</f>
        <v xml:space="preserve"> </v>
      </c>
      <c r="L203" s="36" t="str">
        <f>IF(A203&lt;0,'CAR PROMAX FILIAL CRUZ'!P197," ")</f>
        <v xml:space="preserve"> </v>
      </c>
      <c r="M203" s="36" t="str">
        <f>IF(A203&lt;0,'CAR PROMAX FILIAL CRUZ'!Q197," ")</f>
        <v xml:space="preserve"> </v>
      </c>
      <c r="N203" s="36" t="str">
        <f>IF(A203&lt;0,'CAR PROMAX FILIAL CRUZ'!R197," ")</f>
        <v xml:space="preserve"> </v>
      </c>
      <c r="O203" s="37" t="str">
        <f>IF(A203&lt;0,'CAR PROMAX FILIAL CRUZ'!S197," ")</f>
        <v xml:space="preserve"> </v>
      </c>
      <c r="P203" s="37" t="str">
        <f>IF(A203&lt;0,'CAR PROMAX FILIAL CRUZ'!T197," ")</f>
        <v xml:space="preserve"> </v>
      </c>
      <c r="Q203" s="37" t="str">
        <f>IF(A203&lt;0,'CAR PROMAX FILIAL CRUZ'!U197," ")</f>
        <v xml:space="preserve"> </v>
      </c>
      <c r="R203" s="34" t="str">
        <f>IF(A203&lt;0,'CAR PROMAX FILIAL CRUZ'!V197," ")</f>
        <v xml:space="preserve"> </v>
      </c>
    </row>
    <row r="204" spans="1:18" x14ac:dyDescent="0.25">
      <c r="A204">
        <f>'CAR PROMAX FILIAL CRUZ'!O198</f>
        <v>0</v>
      </c>
      <c r="B204" s="33" t="str">
        <f t="shared" si="7"/>
        <v xml:space="preserve"> </v>
      </c>
      <c r="C204" s="33" t="str">
        <f t="shared" si="8"/>
        <v xml:space="preserve"> </v>
      </c>
      <c r="D204" s="34" t="str">
        <f>IF(A204&lt;0,'CAR PROMAX FILIAL CRUZ'!B198," ")</f>
        <v xml:space="preserve"> </v>
      </c>
      <c r="E204" s="35" t="str">
        <f>IF(A204&lt;0,'CAR PROMAX FILIAL CRUZ'!C198," ")</f>
        <v xml:space="preserve"> </v>
      </c>
      <c r="F204" s="34" t="str">
        <f>IF(A204&lt;0,'CAR PROMAX FILIAL CRUZ'!D198," ")</f>
        <v xml:space="preserve"> </v>
      </c>
      <c r="G204" s="34" t="str">
        <f>IF(A204&lt;0,'CAR PROMAX FILIAL CRUZ'!E198," ")</f>
        <v xml:space="preserve"> </v>
      </c>
      <c r="H204" s="34" t="str">
        <f>IF(A204&lt;0,'CAR PROMAX FILIAL CRUZ'!J198," ")</f>
        <v xml:space="preserve"> </v>
      </c>
      <c r="I204" s="34"/>
      <c r="J204" s="34"/>
      <c r="K204" s="34" t="str">
        <f>IF(A204&lt;0,'CAR PROMAX FILIAL CRUZ'!O198," ")</f>
        <v xml:space="preserve"> </v>
      </c>
      <c r="L204" s="36" t="str">
        <f>IF(A204&lt;0,'CAR PROMAX FILIAL CRUZ'!P198," ")</f>
        <v xml:space="preserve"> </v>
      </c>
      <c r="M204" s="36" t="str">
        <f>IF(A204&lt;0,'CAR PROMAX FILIAL CRUZ'!Q198," ")</f>
        <v xml:space="preserve"> </v>
      </c>
      <c r="N204" s="36" t="str">
        <f>IF(A204&lt;0,'CAR PROMAX FILIAL CRUZ'!R198," ")</f>
        <v xml:space="preserve"> </v>
      </c>
      <c r="O204" s="37" t="str">
        <f>IF(A204&lt;0,'CAR PROMAX FILIAL CRUZ'!S198," ")</f>
        <v xml:space="preserve"> </v>
      </c>
      <c r="P204" s="37" t="str">
        <f>IF(A204&lt;0,'CAR PROMAX FILIAL CRUZ'!T198," ")</f>
        <v xml:space="preserve"> </v>
      </c>
      <c r="Q204" s="37" t="str">
        <f>IF(A204&lt;0,'CAR PROMAX FILIAL CRUZ'!U198," ")</f>
        <v xml:space="preserve"> </v>
      </c>
      <c r="R204" s="34" t="str">
        <f>IF(A204&lt;0,'CAR PROMAX FILIAL CRUZ'!V198," ")</f>
        <v xml:space="preserve"> </v>
      </c>
    </row>
    <row r="205" spans="1:18" x14ac:dyDescent="0.25">
      <c r="A205">
        <f>'CAR PROMAX FILIAL CRUZ'!O199</f>
        <v>0</v>
      </c>
      <c r="B205" s="33" t="str">
        <f t="shared" si="7"/>
        <v xml:space="preserve"> </v>
      </c>
      <c r="C205" s="33" t="str">
        <f t="shared" si="8"/>
        <v xml:space="preserve"> </v>
      </c>
      <c r="D205" s="34" t="str">
        <f>IF(A205&lt;0,'CAR PROMAX FILIAL CRUZ'!B199," ")</f>
        <v xml:space="preserve"> </v>
      </c>
      <c r="E205" s="35" t="str">
        <f>IF(A205&lt;0,'CAR PROMAX FILIAL CRUZ'!C199," ")</f>
        <v xml:space="preserve"> </v>
      </c>
      <c r="F205" s="34" t="str">
        <f>IF(A205&lt;0,'CAR PROMAX FILIAL CRUZ'!D199," ")</f>
        <v xml:space="preserve"> </v>
      </c>
      <c r="G205" s="34" t="str">
        <f>IF(A205&lt;0,'CAR PROMAX FILIAL CRUZ'!E199," ")</f>
        <v xml:space="preserve"> </v>
      </c>
      <c r="H205" s="34" t="str">
        <f>IF(A205&lt;0,'CAR PROMAX FILIAL CRUZ'!J199," ")</f>
        <v xml:space="preserve"> </v>
      </c>
      <c r="I205" s="34"/>
      <c r="J205" s="34"/>
      <c r="K205" s="34" t="str">
        <f>IF(A205&lt;0,'CAR PROMAX FILIAL CRUZ'!O199," ")</f>
        <v xml:space="preserve"> </v>
      </c>
      <c r="L205" s="36" t="str">
        <f>IF(A205&lt;0,'CAR PROMAX FILIAL CRUZ'!P199," ")</f>
        <v xml:space="preserve"> </v>
      </c>
      <c r="M205" s="36" t="str">
        <f>IF(A205&lt;0,'CAR PROMAX FILIAL CRUZ'!Q199," ")</f>
        <v xml:space="preserve"> </v>
      </c>
      <c r="N205" s="36" t="str">
        <f>IF(A205&lt;0,'CAR PROMAX FILIAL CRUZ'!R199," ")</f>
        <v xml:space="preserve"> </v>
      </c>
      <c r="O205" s="37" t="str">
        <f>IF(A205&lt;0,'CAR PROMAX FILIAL CRUZ'!S199," ")</f>
        <v xml:space="preserve"> </v>
      </c>
      <c r="P205" s="37" t="str">
        <f>IF(A205&lt;0,'CAR PROMAX FILIAL CRUZ'!T199," ")</f>
        <v xml:space="preserve"> </v>
      </c>
      <c r="Q205" s="37" t="str">
        <f>IF(A205&lt;0,'CAR PROMAX FILIAL CRUZ'!U199," ")</f>
        <v xml:space="preserve"> </v>
      </c>
      <c r="R205" s="34" t="str">
        <f>IF(A205&lt;0,'CAR PROMAX FILIAL CRUZ'!V199," ")</f>
        <v xml:space="preserve"> </v>
      </c>
    </row>
    <row r="206" spans="1:18" x14ac:dyDescent="0.25">
      <c r="A206">
        <f>'CAR PROMAX FILIAL CRUZ'!O200</f>
        <v>0</v>
      </c>
      <c r="B206" s="33" t="str">
        <f t="shared" ref="B206:B269" si="9">IF(K206&lt;0,IF(K206&gt;-31,"INAD.",IF(K206&gt;-75,"IREC.","PDD"))," ")</f>
        <v xml:space="preserve"> </v>
      </c>
      <c r="C206" s="33" t="str">
        <f t="shared" si="8"/>
        <v xml:space="preserve"> </v>
      </c>
      <c r="D206" s="34" t="str">
        <f>IF(A206&lt;0,'CAR PROMAX FILIAL CRUZ'!B200," ")</f>
        <v xml:space="preserve"> </v>
      </c>
      <c r="E206" s="35" t="str">
        <f>IF(A206&lt;0,'CAR PROMAX FILIAL CRUZ'!C200," ")</f>
        <v xml:space="preserve"> </v>
      </c>
      <c r="F206" s="34" t="str">
        <f>IF(A206&lt;0,'CAR PROMAX FILIAL CRUZ'!D200," ")</f>
        <v xml:space="preserve"> </v>
      </c>
      <c r="G206" s="34" t="str">
        <f>IF(A206&lt;0,'CAR PROMAX FILIAL CRUZ'!E200," ")</f>
        <v xml:space="preserve"> </v>
      </c>
      <c r="H206" s="34" t="str">
        <f>IF(A206&lt;0,'CAR PROMAX FILIAL CRUZ'!J200," ")</f>
        <v xml:space="preserve"> </v>
      </c>
      <c r="I206" s="34"/>
      <c r="J206" s="34"/>
      <c r="K206" s="34" t="str">
        <f>IF(A206&lt;0,'CAR PROMAX FILIAL CRUZ'!O200," ")</f>
        <v xml:space="preserve"> </v>
      </c>
      <c r="L206" s="36" t="str">
        <f>IF(A206&lt;0,'CAR PROMAX FILIAL CRUZ'!P200," ")</f>
        <v xml:space="preserve"> </v>
      </c>
      <c r="M206" s="36" t="str">
        <f>IF(A206&lt;0,'CAR PROMAX FILIAL CRUZ'!Q200," ")</f>
        <v xml:space="preserve"> </v>
      </c>
      <c r="N206" s="36" t="str">
        <f>IF(A206&lt;0,'CAR PROMAX FILIAL CRUZ'!R200," ")</f>
        <v xml:space="preserve"> </v>
      </c>
      <c r="O206" s="37" t="str">
        <f>IF(A206&lt;0,'CAR PROMAX FILIAL CRUZ'!S200," ")</f>
        <v xml:space="preserve"> </v>
      </c>
      <c r="P206" s="37" t="str">
        <f>IF(A206&lt;0,'CAR PROMAX FILIAL CRUZ'!T200," ")</f>
        <v xml:space="preserve"> </v>
      </c>
      <c r="Q206" s="37" t="str">
        <f>IF(A206&lt;0,'CAR PROMAX FILIAL CRUZ'!U200," ")</f>
        <v xml:space="preserve"> </v>
      </c>
      <c r="R206" s="34" t="str">
        <f>IF(A206&lt;0,'CAR PROMAX FILIAL CRUZ'!V200," ")</f>
        <v xml:space="preserve"> </v>
      </c>
    </row>
    <row r="207" spans="1:18" x14ac:dyDescent="0.25">
      <c r="A207">
        <f>'CAR PROMAX FILIAL CRUZ'!O201</f>
        <v>0</v>
      </c>
      <c r="B207" s="33" t="str">
        <f t="shared" si="9"/>
        <v xml:space="preserve"> </v>
      </c>
      <c r="C207" s="33" t="str">
        <f t="shared" si="8"/>
        <v xml:space="preserve"> </v>
      </c>
      <c r="D207" s="34" t="str">
        <f>IF(A207&lt;0,'CAR PROMAX FILIAL CRUZ'!B201," ")</f>
        <v xml:space="preserve"> </v>
      </c>
      <c r="E207" s="35" t="str">
        <f>IF(A207&lt;0,'CAR PROMAX FILIAL CRUZ'!C201," ")</f>
        <v xml:space="preserve"> </v>
      </c>
      <c r="F207" s="34" t="str">
        <f>IF(A207&lt;0,'CAR PROMAX FILIAL CRUZ'!D201," ")</f>
        <v xml:space="preserve"> </v>
      </c>
      <c r="G207" s="34" t="str">
        <f>IF(A207&lt;0,'CAR PROMAX FILIAL CRUZ'!E201," ")</f>
        <v xml:space="preserve"> </v>
      </c>
      <c r="H207" s="34" t="str">
        <f>IF(A207&lt;0,'CAR PROMAX FILIAL CRUZ'!J201," ")</f>
        <v xml:space="preserve"> </v>
      </c>
      <c r="I207" s="34"/>
      <c r="J207" s="34"/>
      <c r="K207" s="34" t="str">
        <f>IF(A207&lt;0,'CAR PROMAX FILIAL CRUZ'!O201," ")</f>
        <v xml:space="preserve"> </v>
      </c>
      <c r="L207" s="36" t="str">
        <f>IF(A207&lt;0,'CAR PROMAX FILIAL CRUZ'!P201," ")</f>
        <v xml:space="preserve"> </v>
      </c>
      <c r="M207" s="36" t="str">
        <f>IF(A207&lt;0,'CAR PROMAX FILIAL CRUZ'!Q201," ")</f>
        <v xml:space="preserve"> </v>
      </c>
      <c r="N207" s="36" t="str">
        <f>IF(A207&lt;0,'CAR PROMAX FILIAL CRUZ'!R201," ")</f>
        <v xml:space="preserve"> </v>
      </c>
      <c r="O207" s="37" t="str">
        <f>IF(A207&lt;0,'CAR PROMAX FILIAL CRUZ'!S201," ")</f>
        <v xml:space="preserve"> </v>
      </c>
      <c r="P207" s="37" t="str">
        <f>IF(A207&lt;0,'CAR PROMAX FILIAL CRUZ'!T201," ")</f>
        <v xml:space="preserve"> </v>
      </c>
      <c r="Q207" s="37" t="str">
        <f>IF(A207&lt;0,'CAR PROMAX FILIAL CRUZ'!U201," ")</f>
        <v xml:space="preserve"> </v>
      </c>
      <c r="R207" s="34" t="str">
        <f>IF(A207&lt;0,'CAR PROMAX FILIAL CRUZ'!V201," ")</f>
        <v xml:space="preserve"> </v>
      </c>
    </row>
    <row r="208" spans="1:18" x14ac:dyDescent="0.25">
      <c r="A208">
        <f>'CAR PROMAX FILIAL CRUZ'!O202</f>
        <v>0</v>
      </c>
      <c r="B208" s="33" t="str">
        <f t="shared" si="9"/>
        <v xml:space="preserve"> </v>
      </c>
      <c r="C208" s="33" t="str">
        <f t="shared" si="8"/>
        <v xml:space="preserve"> </v>
      </c>
      <c r="D208" s="34" t="str">
        <f>IF(A208&lt;0,'CAR PROMAX FILIAL CRUZ'!B202," ")</f>
        <v xml:space="preserve"> </v>
      </c>
      <c r="E208" s="35" t="str">
        <f>IF(A208&lt;0,'CAR PROMAX FILIAL CRUZ'!C202," ")</f>
        <v xml:space="preserve"> </v>
      </c>
      <c r="F208" s="34" t="str">
        <f>IF(A208&lt;0,'CAR PROMAX FILIAL CRUZ'!D202," ")</f>
        <v xml:space="preserve"> </v>
      </c>
      <c r="G208" s="34" t="str">
        <f>IF(A208&lt;0,'CAR PROMAX FILIAL CRUZ'!E202," ")</f>
        <v xml:space="preserve"> </v>
      </c>
      <c r="H208" s="34" t="str">
        <f>IF(A208&lt;0,'CAR PROMAX FILIAL CRUZ'!J202," ")</f>
        <v xml:space="preserve"> </v>
      </c>
      <c r="I208" s="34"/>
      <c r="J208" s="34"/>
      <c r="K208" s="34" t="str">
        <f>IF(A208&lt;0,'CAR PROMAX FILIAL CRUZ'!O202," ")</f>
        <v xml:space="preserve"> </v>
      </c>
      <c r="L208" s="36" t="str">
        <f>IF(A208&lt;0,'CAR PROMAX FILIAL CRUZ'!P202," ")</f>
        <v xml:space="preserve"> </v>
      </c>
      <c r="M208" s="36" t="str">
        <f>IF(A208&lt;0,'CAR PROMAX FILIAL CRUZ'!Q202," ")</f>
        <v xml:space="preserve"> </v>
      </c>
      <c r="N208" s="36" t="str">
        <f>IF(A208&lt;0,'CAR PROMAX FILIAL CRUZ'!R202," ")</f>
        <v xml:space="preserve"> </v>
      </c>
      <c r="O208" s="37" t="str">
        <f>IF(A208&lt;0,'CAR PROMAX FILIAL CRUZ'!S202," ")</f>
        <v xml:space="preserve"> </v>
      </c>
      <c r="P208" s="37" t="str">
        <f>IF(A208&lt;0,'CAR PROMAX FILIAL CRUZ'!T202," ")</f>
        <v xml:space="preserve"> </v>
      </c>
      <c r="Q208" s="37" t="str">
        <f>IF(A208&lt;0,'CAR PROMAX FILIAL CRUZ'!U202," ")</f>
        <v xml:space="preserve"> </v>
      </c>
      <c r="R208" s="34" t="str">
        <f>IF(A208&lt;0,'CAR PROMAX FILIAL CRUZ'!V202," ")</f>
        <v xml:space="preserve"> </v>
      </c>
    </row>
    <row r="209" spans="1:18" x14ac:dyDescent="0.25">
      <c r="A209">
        <f>'CAR PROMAX FILIAL CRUZ'!O203</f>
        <v>0</v>
      </c>
      <c r="B209" s="33" t="str">
        <f t="shared" si="9"/>
        <v xml:space="preserve"> </v>
      </c>
      <c r="C209" s="33" t="str">
        <f t="shared" si="8"/>
        <v xml:space="preserve"> </v>
      </c>
      <c r="D209" s="34" t="str">
        <f>IF(A209&lt;0,'CAR PROMAX FILIAL CRUZ'!B203," ")</f>
        <v xml:space="preserve"> </v>
      </c>
      <c r="E209" s="35" t="str">
        <f>IF(A209&lt;0,'CAR PROMAX FILIAL CRUZ'!C203," ")</f>
        <v xml:space="preserve"> </v>
      </c>
      <c r="F209" s="34" t="str">
        <f>IF(A209&lt;0,'CAR PROMAX FILIAL CRUZ'!D203," ")</f>
        <v xml:space="preserve"> </v>
      </c>
      <c r="G209" s="34" t="str">
        <f>IF(A209&lt;0,'CAR PROMAX FILIAL CRUZ'!E203," ")</f>
        <v xml:space="preserve"> </v>
      </c>
      <c r="H209" s="34" t="str">
        <f>IF(A209&lt;0,'CAR PROMAX FILIAL CRUZ'!J203," ")</f>
        <v xml:space="preserve"> </v>
      </c>
      <c r="I209" s="34"/>
      <c r="J209" s="34"/>
      <c r="K209" s="34" t="str">
        <f>IF(A209&lt;0,'CAR PROMAX FILIAL CRUZ'!O203," ")</f>
        <v xml:space="preserve"> </v>
      </c>
      <c r="L209" s="36" t="str">
        <f>IF(A209&lt;0,'CAR PROMAX FILIAL CRUZ'!P203," ")</f>
        <v xml:space="preserve"> </v>
      </c>
      <c r="M209" s="36" t="str">
        <f>IF(A209&lt;0,'CAR PROMAX FILIAL CRUZ'!Q203," ")</f>
        <v xml:space="preserve"> </v>
      </c>
      <c r="N209" s="36" t="str">
        <f>IF(A209&lt;0,'CAR PROMAX FILIAL CRUZ'!R203," ")</f>
        <v xml:space="preserve"> </v>
      </c>
      <c r="O209" s="37" t="str">
        <f>IF(A209&lt;0,'CAR PROMAX FILIAL CRUZ'!S203," ")</f>
        <v xml:space="preserve"> </v>
      </c>
      <c r="P209" s="37" t="str">
        <f>IF(A209&lt;0,'CAR PROMAX FILIAL CRUZ'!T203," ")</f>
        <v xml:space="preserve"> </v>
      </c>
      <c r="Q209" s="37" t="str">
        <f>IF(A209&lt;0,'CAR PROMAX FILIAL CRUZ'!U203," ")</f>
        <v xml:space="preserve"> </v>
      </c>
      <c r="R209" s="34" t="str">
        <f>IF(A209&lt;0,'CAR PROMAX FILIAL CRUZ'!V203," ")</f>
        <v xml:space="preserve"> </v>
      </c>
    </row>
    <row r="210" spans="1:18" x14ac:dyDescent="0.25">
      <c r="A210">
        <f>'CAR PROMAX FILIAL CRUZ'!O204</f>
        <v>0</v>
      </c>
      <c r="B210" s="33" t="str">
        <f t="shared" si="9"/>
        <v xml:space="preserve"> </v>
      </c>
      <c r="C210" s="33" t="str">
        <f t="shared" si="8"/>
        <v xml:space="preserve"> </v>
      </c>
      <c r="D210" s="34" t="str">
        <f>IF(A210&lt;0,'CAR PROMAX FILIAL CRUZ'!B204," ")</f>
        <v xml:space="preserve"> </v>
      </c>
      <c r="E210" s="35" t="str">
        <f>IF(A210&lt;0,'CAR PROMAX FILIAL CRUZ'!C204," ")</f>
        <v xml:space="preserve"> </v>
      </c>
      <c r="F210" s="34" t="str">
        <f>IF(A210&lt;0,'CAR PROMAX FILIAL CRUZ'!D204," ")</f>
        <v xml:space="preserve"> </v>
      </c>
      <c r="G210" s="34" t="str">
        <f>IF(A210&lt;0,'CAR PROMAX FILIAL CRUZ'!E204," ")</f>
        <v xml:space="preserve"> </v>
      </c>
      <c r="H210" s="34" t="str">
        <f>IF(A210&lt;0,'CAR PROMAX FILIAL CRUZ'!J204," ")</f>
        <v xml:space="preserve"> </v>
      </c>
      <c r="I210" s="34"/>
      <c r="J210" s="34"/>
      <c r="K210" s="34" t="str">
        <f>IF(A210&lt;0,'CAR PROMAX FILIAL CRUZ'!O204," ")</f>
        <v xml:space="preserve"> </v>
      </c>
      <c r="L210" s="36" t="str">
        <f>IF(A210&lt;0,'CAR PROMAX FILIAL CRUZ'!P204," ")</f>
        <v xml:space="preserve"> </v>
      </c>
      <c r="M210" s="36" t="str">
        <f>IF(A210&lt;0,'CAR PROMAX FILIAL CRUZ'!Q204," ")</f>
        <v xml:space="preserve"> </v>
      </c>
      <c r="N210" s="36" t="str">
        <f>IF(A210&lt;0,'CAR PROMAX FILIAL CRUZ'!R204," ")</f>
        <v xml:space="preserve"> </v>
      </c>
      <c r="O210" s="37" t="str">
        <f>IF(A210&lt;0,'CAR PROMAX FILIAL CRUZ'!S204," ")</f>
        <v xml:space="preserve"> </v>
      </c>
      <c r="P210" s="37" t="str">
        <f>IF(A210&lt;0,'CAR PROMAX FILIAL CRUZ'!T204," ")</f>
        <v xml:space="preserve"> </v>
      </c>
      <c r="Q210" s="37" t="str">
        <f>IF(A210&lt;0,'CAR PROMAX FILIAL CRUZ'!U204," ")</f>
        <v xml:space="preserve"> </v>
      </c>
      <c r="R210" s="34" t="str">
        <f>IF(A210&lt;0,'CAR PROMAX FILIAL CRUZ'!V204," ")</f>
        <v xml:space="preserve"> </v>
      </c>
    </row>
    <row r="211" spans="1:18" x14ac:dyDescent="0.25">
      <c r="A211">
        <f>'CAR PROMAX FILIAL CRUZ'!O205</f>
        <v>0</v>
      </c>
      <c r="B211" s="33" t="str">
        <f t="shared" si="9"/>
        <v xml:space="preserve"> </v>
      </c>
      <c r="C211" s="33" t="str">
        <f t="shared" si="8"/>
        <v xml:space="preserve"> </v>
      </c>
      <c r="D211" s="34" t="str">
        <f>IF(A211&lt;0,'CAR PROMAX FILIAL CRUZ'!B205," ")</f>
        <v xml:space="preserve"> </v>
      </c>
      <c r="E211" s="35" t="str">
        <f>IF(A211&lt;0,'CAR PROMAX FILIAL CRUZ'!C205," ")</f>
        <v xml:space="preserve"> </v>
      </c>
      <c r="F211" s="34" t="str">
        <f>IF(A211&lt;0,'CAR PROMAX FILIAL CRUZ'!D205," ")</f>
        <v xml:space="preserve"> </v>
      </c>
      <c r="G211" s="34" t="str">
        <f>IF(A211&lt;0,'CAR PROMAX FILIAL CRUZ'!E205," ")</f>
        <v xml:space="preserve"> </v>
      </c>
      <c r="H211" s="34" t="str">
        <f>IF(A211&lt;0,'CAR PROMAX FILIAL CRUZ'!J205," ")</f>
        <v xml:space="preserve"> </v>
      </c>
      <c r="I211" s="34"/>
      <c r="J211" s="34"/>
      <c r="K211" s="34" t="str">
        <f>IF(A211&lt;0,'CAR PROMAX FILIAL CRUZ'!O205," ")</f>
        <v xml:space="preserve"> </v>
      </c>
      <c r="L211" s="36" t="str">
        <f>IF(A211&lt;0,'CAR PROMAX FILIAL CRUZ'!P205," ")</f>
        <v xml:space="preserve"> </v>
      </c>
      <c r="M211" s="36" t="str">
        <f>IF(A211&lt;0,'CAR PROMAX FILIAL CRUZ'!Q205," ")</f>
        <v xml:space="preserve"> </v>
      </c>
      <c r="N211" s="36" t="str">
        <f>IF(A211&lt;0,'CAR PROMAX FILIAL CRUZ'!R205," ")</f>
        <v xml:space="preserve"> </v>
      </c>
      <c r="O211" s="37" t="str">
        <f>IF(A211&lt;0,'CAR PROMAX FILIAL CRUZ'!S205," ")</f>
        <v xml:space="preserve"> </v>
      </c>
      <c r="P211" s="37" t="str">
        <f>IF(A211&lt;0,'CAR PROMAX FILIAL CRUZ'!T205," ")</f>
        <v xml:space="preserve"> </v>
      </c>
      <c r="Q211" s="37" t="str">
        <f>IF(A211&lt;0,'CAR PROMAX FILIAL CRUZ'!U205," ")</f>
        <v xml:space="preserve"> </v>
      </c>
      <c r="R211" s="34" t="str">
        <f>IF(A211&lt;0,'CAR PROMAX FILIAL CRUZ'!V205," ")</f>
        <v xml:space="preserve"> </v>
      </c>
    </row>
    <row r="212" spans="1:18" x14ac:dyDescent="0.25">
      <c r="A212">
        <f>'CAR PROMAX FILIAL CRUZ'!O206</f>
        <v>0</v>
      </c>
      <c r="B212" s="33" t="str">
        <f t="shared" si="9"/>
        <v xml:space="preserve"> </v>
      </c>
      <c r="C212" s="33" t="str">
        <f t="shared" si="8"/>
        <v xml:space="preserve"> </v>
      </c>
      <c r="D212" s="34" t="str">
        <f>IF(A212&lt;0,'CAR PROMAX FILIAL CRUZ'!B206," ")</f>
        <v xml:space="preserve"> </v>
      </c>
      <c r="E212" s="35" t="str">
        <f>IF(A212&lt;0,'CAR PROMAX FILIAL CRUZ'!C206," ")</f>
        <v xml:space="preserve"> </v>
      </c>
      <c r="F212" s="34" t="str">
        <f>IF(A212&lt;0,'CAR PROMAX FILIAL CRUZ'!D206," ")</f>
        <v xml:space="preserve"> </v>
      </c>
      <c r="G212" s="34" t="str">
        <f>IF(A212&lt;0,'CAR PROMAX FILIAL CRUZ'!E206," ")</f>
        <v xml:space="preserve"> </v>
      </c>
      <c r="H212" s="34" t="str">
        <f>IF(A212&lt;0,'CAR PROMAX FILIAL CRUZ'!J206," ")</f>
        <v xml:space="preserve"> </v>
      </c>
      <c r="I212" s="34"/>
      <c r="J212" s="34"/>
      <c r="K212" s="34" t="str">
        <f>IF(A212&lt;0,'CAR PROMAX FILIAL CRUZ'!O206," ")</f>
        <v xml:space="preserve"> </v>
      </c>
      <c r="L212" s="36" t="str">
        <f>IF(A212&lt;0,'CAR PROMAX FILIAL CRUZ'!P206," ")</f>
        <v xml:space="preserve"> </v>
      </c>
      <c r="M212" s="36" t="str">
        <f>IF(A212&lt;0,'CAR PROMAX FILIAL CRUZ'!Q206," ")</f>
        <v xml:space="preserve"> </v>
      </c>
      <c r="N212" s="36" t="str">
        <f>IF(A212&lt;0,'CAR PROMAX FILIAL CRUZ'!R206," ")</f>
        <v xml:space="preserve"> </v>
      </c>
      <c r="O212" s="37" t="str">
        <f>IF(A212&lt;0,'CAR PROMAX FILIAL CRUZ'!S206," ")</f>
        <v xml:space="preserve"> </v>
      </c>
      <c r="P212" s="37" t="str">
        <f>IF(A212&lt;0,'CAR PROMAX FILIAL CRUZ'!T206," ")</f>
        <v xml:space="preserve"> </v>
      </c>
      <c r="Q212" s="37" t="str">
        <f>IF(A212&lt;0,'CAR PROMAX FILIAL CRUZ'!U206," ")</f>
        <v xml:space="preserve"> </v>
      </c>
      <c r="R212" s="34" t="str">
        <f>IF(A212&lt;0,'CAR PROMAX FILIAL CRUZ'!V206," ")</f>
        <v xml:space="preserve"> </v>
      </c>
    </row>
    <row r="213" spans="1:18" x14ac:dyDescent="0.25">
      <c r="A213">
        <f>'CAR PROMAX FILIAL CRUZ'!O207</f>
        <v>0</v>
      </c>
      <c r="B213" s="33" t="str">
        <f t="shared" si="9"/>
        <v xml:space="preserve"> </v>
      </c>
      <c r="C213" s="33" t="str">
        <f t="shared" si="8"/>
        <v xml:space="preserve"> </v>
      </c>
      <c r="D213" s="34" t="str">
        <f>IF(A213&lt;0,'CAR PROMAX FILIAL CRUZ'!B207," ")</f>
        <v xml:space="preserve"> </v>
      </c>
      <c r="E213" s="35" t="str">
        <f>IF(A213&lt;0,'CAR PROMAX FILIAL CRUZ'!C207," ")</f>
        <v xml:space="preserve"> </v>
      </c>
      <c r="F213" s="34" t="str">
        <f>IF(A213&lt;0,'CAR PROMAX FILIAL CRUZ'!D207," ")</f>
        <v xml:space="preserve"> </v>
      </c>
      <c r="G213" s="34" t="str">
        <f>IF(A213&lt;0,'CAR PROMAX FILIAL CRUZ'!E207," ")</f>
        <v xml:space="preserve"> </v>
      </c>
      <c r="H213" s="34" t="str">
        <f>IF(A213&lt;0,'CAR PROMAX FILIAL CRUZ'!J207," ")</f>
        <v xml:space="preserve"> </v>
      </c>
      <c r="I213" s="34"/>
      <c r="J213" s="34"/>
      <c r="K213" s="34" t="str">
        <f>IF(A213&lt;0,'CAR PROMAX FILIAL CRUZ'!O207," ")</f>
        <v xml:space="preserve"> </v>
      </c>
      <c r="L213" s="36" t="str">
        <f>IF(A213&lt;0,'CAR PROMAX FILIAL CRUZ'!P207," ")</f>
        <v xml:space="preserve"> </v>
      </c>
      <c r="M213" s="36" t="str">
        <f>IF(A213&lt;0,'CAR PROMAX FILIAL CRUZ'!Q207," ")</f>
        <v xml:space="preserve"> </v>
      </c>
      <c r="N213" s="36" t="str">
        <f>IF(A213&lt;0,'CAR PROMAX FILIAL CRUZ'!R207," ")</f>
        <v xml:space="preserve"> </v>
      </c>
      <c r="O213" s="37" t="str">
        <f>IF(A213&lt;0,'CAR PROMAX FILIAL CRUZ'!S207," ")</f>
        <v xml:space="preserve"> </v>
      </c>
      <c r="P213" s="37" t="str">
        <f>IF(A213&lt;0,'CAR PROMAX FILIAL CRUZ'!T207," ")</f>
        <v xml:space="preserve"> </v>
      </c>
      <c r="Q213" s="37" t="str">
        <f>IF(A213&lt;0,'CAR PROMAX FILIAL CRUZ'!U207," ")</f>
        <v xml:space="preserve"> </v>
      </c>
      <c r="R213" s="34" t="str">
        <f>IF(A213&lt;0,'CAR PROMAX FILIAL CRUZ'!V207," ")</f>
        <v xml:space="preserve"> </v>
      </c>
    </row>
    <row r="214" spans="1:18" x14ac:dyDescent="0.25">
      <c r="A214">
        <f>'CAR PROMAX FILIAL CRUZ'!O208</f>
        <v>0</v>
      </c>
      <c r="B214" s="33" t="str">
        <f t="shared" si="9"/>
        <v xml:space="preserve"> </v>
      </c>
      <c r="C214" s="33" t="str">
        <f t="shared" si="8"/>
        <v xml:space="preserve"> </v>
      </c>
      <c r="D214" s="34" t="str">
        <f>IF(A214&lt;0,'CAR PROMAX FILIAL CRUZ'!B208," ")</f>
        <v xml:space="preserve"> </v>
      </c>
      <c r="E214" s="35" t="str">
        <f>IF(A214&lt;0,'CAR PROMAX FILIAL CRUZ'!C208," ")</f>
        <v xml:space="preserve"> </v>
      </c>
      <c r="F214" s="34" t="str">
        <f>IF(A214&lt;0,'CAR PROMAX FILIAL CRUZ'!D208," ")</f>
        <v xml:space="preserve"> </v>
      </c>
      <c r="G214" s="34" t="str">
        <f>IF(A214&lt;0,'CAR PROMAX FILIAL CRUZ'!E208," ")</f>
        <v xml:space="preserve"> </v>
      </c>
      <c r="H214" s="34" t="str">
        <f>IF(A214&lt;0,'CAR PROMAX FILIAL CRUZ'!J208," ")</f>
        <v xml:space="preserve"> </v>
      </c>
      <c r="I214" s="34"/>
      <c r="J214" s="34"/>
      <c r="K214" s="34" t="str">
        <f>IF(A214&lt;0,'CAR PROMAX FILIAL CRUZ'!O208," ")</f>
        <v xml:space="preserve"> </v>
      </c>
      <c r="L214" s="36" t="str">
        <f>IF(A214&lt;0,'CAR PROMAX FILIAL CRUZ'!P208," ")</f>
        <v xml:space="preserve"> </v>
      </c>
      <c r="M214" s="36" t="str">
        <f>IF(A214&lt;0,'CAR PROMAX FILIAL CRUZ'!Q208," ")</f>
        <v xml:space="preserve"> </v>
      </c>
      <c r="N214" s="36" t="str">
        <f>IF(A214&lt;0,'CAR PROMAX FILIAL CRUZ'!R208," ")</f>
        <v xml:space="preserve"> </v>
      </c>
      <c r="O214" s="37" t="str">
        <f>IF(A214&lt;0,'CAR PROMAX FILIAL CRUZ'!S208," ")</f>
        <v xml:space="preserve"> </v>
      </c>
      <c r="P214" s="37" t="str">
        <f>IF(A214&lt;0,'CAR PROMAX FILIAL CRUZ'!T208," ")</f>
        <v xml:space="preserve"> </v>
      </c>
      <c r="Q214" s="37" t="str">
        <f>IF(A214&lt;0,'CAR PROMAX FILIAL CRUZ'!U208," ")</f>
        <v xml:space="preserve"> </v>
      </c>
      <c r="R214" s="34" t="str">
        <f>IF(A214&lt;0,'CAR PROMAX FILIAL CRUZ'!V208," ")</f>
        <v xml:space="preserve"> </v>
      </c>
    </row>
    <row r="215" spans="1:18" x14ac:dyDescent="0.25">
      <c r="A215">
        <f>'CAR PROMAX FILIAL CRUZ'!O209</f>
        <v>0</v>
      </c>
      <c r="B215" s="33" t="str">
        <f t="shared" si="9"/>
        <v xml:space="preserve"> </v>
      </c>
      <c r="C215" s="33" t="str">
        <f t="shared" si="8"/>
        <v xml:space="preserve"> </v>
      </c>
      <c r="D215" s="34" t="str">
        <f>IF(A215&lt;0,'CAR PROMAX FILIAL CRUZ'!B209," ")</f>
        <v xml:space="preserve"> </v>
      </c>
      <c r="E215" s="35" t="str">
        <f>IF(A215&lt;0,'CAR PROMAX FILIAL CRUZ'!C209," ")</f>
        <v xml:space="preserve"> </v>
      </c>
      <c r="F215" s="34" t="str">
        <f>IF(A215&lt;0,'CAR PROMAX FILIAL CRUZ'!D209," ")</f>
        <v xml:space="preserve"> </v>
      </c>
      <c r="G215" s="34" t="str">
        <f>IF(A215&lt;0,'CAR PROMAX FILIAL CRUZ'!E209," ")</f>
        <v xml:space="preserve"> </v>
      </c>
      <c r="H215" s="34" t="str">
        <f>IF(A215&lt;0,'CAR PROMAX FILIAL CRUZ'!J209," ")</f>
        <v xml:space="preserve"> </v>
      </c>
      <c r="I215" s="34"/>
      <c r="J215" s="34"/>
      <c r="K215" s="34" t="str">
        <f>IF(A215&lt;0,'CAR PROMAX FILIAL CRUZ'!O209," ")</f>
        <v xml:space="preserve"> </v>
      </c>
      <c r="L215" s="36" t="str">
        <f>IF(A215&lt;0,'CAR PROMAX FILIAL CRUZ'!P209," ")</f>
        <v xml:space="preserve"> </v>
      </c>
      <c r="M215" s="36" t="str">
        <f>IF(A215&lt;0,'CAR PROMAX FILIAL CRUZ'!Q209," ")</f>
        <v xml:space="preserve"> </v>
      </c>
      <c r="N215" s="36" t="str">
        <f>IF(A215&lt;0,'CAR PROMAX FILIAL CRUZ'!R209," ")</f>
        <v xml:space="preserve"> </v>
      </c>
      <c r="O215" s="37" t="str">
        <f>IF(A215&lt;0,'CAR PROMAX FILIAL CRUZ'!S209," ")</f>
        <v xml:space="preserve"> </v>
      </c>
      <c r="P215" s="37" t="str">
        <f>IF(A215&lt;0,'CAR PROMAX FILIAL CRUZ'!T209," ")</f>
        <v xml:space="preserve"> </v>
      </c>
      <c r="Q215" s="37" t="str">
        <f>IF(A215&lt;0,'CAR PROMAX FILIAL CRUZ'!U209," ")</f>
        <v xml:space="preserve"> </v>
      </c>
      <c r="R215" s="34" t="str">
        <f>IF(A215&lt;0,'CAR PROMAX FILIAL CRUZ'!V209," ")</f>
        <v xml:space="preserve"> </v>
      </c>
    </row>
    <row r="216" spans="1:18" x14ac:dyDescent="0.25">
      <c r="A216">
        <f>'CAR PROMAX FILIAL CRUZ'!O210</f>
        <v>0</v>
      </c>
      <c r="B216" s="33" t="str">
        <f t="shared" si="9"/>
        <v xml:space="preserve"> </v>
      </c>
      <c r="C216" s="33" t="str">
        <f t="shared" si="8"/>
        <v xml:space="preserve"> </v>
      </c>
      <c r="D216" s="34" t="str">
        <f>IF(A216&lt;0,'CAR PROMAX FILIAL CRUZ'!B210," ")</f>
        <v xml:space="preserve"> </v>
      </c>
      <c r="E216" s="35" t="str">
        <f>IF(A216&lt;0,'CAR PROMAX FILIAL CRUZ'!C210," ")</f>
        <v xml:space="preserve"> </v>
      </c>
      <c r="F216" s="34" t="str">
        <f>IF(A216&lt;0,'CAR PROMAX FILIAL CRUZ'!D210," ")</f>
        <v xml:space="preserve"> </v>
      </c>
      <c r="G216" s="34" t="str">
        <f>IF(A216&lt;0,'CAR PROMAX FILIAL CRUZ'!E210," ")</f>
        <v xml:space="preserve"> </v>
      </c>
      <c r="H216" s="34" t="str">
        <f>IF(A216&lt;0,'CAR PROMAX FILIAL CRUZ'!J210," ")</f>
        <v xml:space="preserve"> </v>
      </c>
      <c r="I216" s="34"/>
      <c r="J216" s="34"/>
      <c r="K216" s="34" t="str">
        <f>IF(A216&lt;0,'CAR PROMAX FILIAL CRUZ'!O210," ")</f>
        <v xml:space="preserve"> </v>
      </c>
      <c r="L216" s="36" t="str">
        <f>IF(A216&lt;0,'CAR PROMAX FILIAL CRUZ'!P210," ")</f>
        <v xml:space="preserve"> </v>
      </c>
      <c r="M216" s="36" t="str">
        <f>IF(A216&lt;0,'CAR PROMAX FILIAL CRUZ'!Q210," ")</f>
        <v xml:space="preserve"> </v>
      </c>
      <c r="N216" s="36" t="str">
        <f>IF(A216&lt;0,'CAR PROMAX FILIAL CRUZ'!R210," ")</f>
        <v xml:space="preserve"> </v>
      </c>
      <c r="O216" s="37" t="str">
        <f>IF(A216&lt;0,'CAR PROMAX FILIAL CRUZ'!S210," ")</f>
        <v xml:space="preserve"> </v>
      </c>
      <c r="P216" s="37" t="str">
        <f>IF(A216&lt;0,'CAR PROMAX FILIAL CRUZ'!T210," ")</f>
        <v xml:space="preserve"> </v>
      </c>
      <c r="Q216" s="37" t="str">
        <f>IF(A216&lt;0,'CAR PROMAX FILIAL CRUZ'!U210," ")</f>
        <v xml:space="preserve"> </v>
      </c>
      <c r="R216" s="34" t="str">
        <f>IF(A216&lt;0,'CAR PROMAX FILIAL CRUZ'!V210," ")</f>
        <v xml:space="preserve"> </v>
      </c>
    </row>
    <row r="217" spans="1:18" x14ac:dyDescent="0.25">
      <c r="A217">
        <f>'CAR PROMAX FILIAL CRUZ'!O211</f>
        <v>0</v>
      </c>
      <c r="B217" s="33" t="str">
        <f t="shared" si="9"/>
        <v xml:space="preserve"> </v>
      </c>
      <c r="C217" s="33" t="str">
        <f t="shared" si="8"/>
        <v xml:space="preserve"> </v>
      </c>
      <c r="D217" s="34" t="str">
        <f>IF(A217&lt;0,'CAR PROMAX FILIAL CRUZ'!B211," ")</f>
        <v xml:space="preserve"> </v>
      </c>
      <c r="E217" s="35" t="str">
        <f>IF(A217&lt;0,'CAR PROMAX FILIAL CRUZ'!C211," ")</f>
        <v xml:space="preserve"> </v>
      </c>
      <c r="F217" s="34" t="str">
        <f>IF(A217&lt;0,'CAR PROMAX FILIAL CRUZ'!D211," ")</f>
        <v xml:space="preserve"> </v>
      </c>
      <c r="G217" s="34" t="str">
        <f>IF(A217&lt;0,'CAR PROMAX FILIAL CRUZ'!E211," ")</f>
        <v xml:space="preserve"> </v>
      </c>
      <c r="H217" s="34" t="str">
        <f>IF(A217&lt;0,'CAR PROMAX FILIAL CRUZ'!J211," ")</f>
        <v xml:space="preserve"> </v>
      </c>
      <c r="I217" s="34"/>
      <c r="J217" s="34"/>
      <c r="K217" s="34" t="str">
        <f>IF(A217&lt;0,'CAR PROMAX FILIAL CRUZ'!O211," ")</f>
        <v xml:space="preserve"> </v>
      </c>
      <c r="L217" s="36" t="str">
        <f>IF(A217&lt;0,'CAR PROMAX FILIAL CRUZ'!P211," ")</f>
        <v xml:space="preserve"> </v>
      </c>
      <c r="M217" s="36" t="str">
        <f>IF(A217&lt;0,'CAR PROMAX FILIAL CRUZ'!Q211," ")</f>
        <v xml:space="preserve"> </v>
      </c>
      <c r="N217" s="36" t="str">
        <f>IF(A217&lt;0,'CAR PROMAX FILIAL CRUZ'!R211," ")</f>
        <v xml:space="preserve"> </v>
      </c>
      <c r="O217" s="37" t="str">
        <f>IF(A217&lt;0,'CAR PROMAX FILIAL CRUZ'!S211," ")</f>
        <v xml:space="preserve"> </v>
      </c>
      <c r="P217" s="37" t="str">
        <f>IF(A217&lt;0,'CAR PROMAX FILIAL CRUZ'!T211," ")</f>
        <v xml:space="preserve"> </v>
      </c>
      <c r="Q217" s="37" t="str">
        <f>IF(A217&lt;0,'CAR PROMAX FILIAL CRUZ'!U211," ")</f>
        <v xml:space="preserve"> </v>
      </c>
      <c r="R217" s="34" t="str">
        <f>IF(A217&lt;0,'CAR PROMAX FILIAL CRUZ'!V211," ")</f>
        <v xml:space="preserve"> </v>
      </c>
    </row>
    <row r="218" spans="1:18" x14ac:dyDescent="0.25">
      <c r="A218">
        <f>'CAR PROMAX FILIAL CRUZ'!O212</f>
        <v>0</v>
      </c>
      <c r="B218" s="33" t="str">
        <f t="shared" si="9"/>
        <v xml:space="preserve"> </v>
      </c>
      <c r="C218" s="33" t="str">
        <f t="shared" si="8"/>
        <v xml:space="preserve"> </v>
      </c>
      <c r="D218" s="34" t="str">
        <f>IF(A218&lt;0,'CAR PROMAX FILIAL CRUZ'!B212," ")</f>
        <v xml:space="preserve"> </v>
      </c>
      <c r="E218" s="35" t="str">
        <f>IF(A218&lt;0,'CAR PROMAX FILIAL CRUZ'!C212," ")</f>
        <v xml:space="preserve"> </v>
      </c>
      <c r="F218" s="34" t="str">
        <f>IF(A218&lt;0,'CAR PROMAX FILIAL CRUZ'!D212," ")</f>
        <v xml:space="preserve"> </v>
      </c>
      <c r="G218" s="34" t="str">
        <f>IF(A218&lt;0,'CAR PROMAX FILIAL CRUZ'!E212," ")</f>
        <v xml:space="preserve"> </v>
      </c>
      <c r="H218" s="34" t="str">
        <f>IF(A218&lt;0,'CAR PROMAX FILIAL CRUZ'!J212," ")</f>
        <v xml:space="preserve"> </v>
      </c>
      <c r="I218" s="34"/>
      <c r="J218" s="34"/>
      <c r="K218" s="34" t="str">
        <f>IF(A218&lt;0,'CAR PROMAX FILIAL CRUZ'!O212," ")</f>
        <v xml:space="preserve"> </v>
      </c>
      <c r="L218" s="36" t="str">
        <f>IF(A218&lt;0,'CAR PROMAX FILIAL CRUZ'!P212," ")</f>
        <v xml:space="preserve"> </v>
      </c>
      <c r="M218" s="36" t="str">
        <f>IF(A218&lt;0,'CAR PROMAX FILIAL CRUZ'!Q212," ")</f>
        <v xml:space="preserve"> </v>
      </c>
      <c r="N218" s="36" t="str">
        <f>IF(A218&lt;0,'CAR PROMAX FILIAL CRUZ'!R212," ")</f>
        <v xml:space="preserve"> </v>
      </c>
      <c r="O218" s="37" t="str">
        <f>IF(A218&lt;0,'CAR PROMAX FILIAL CRUZ'!S212," ")</f>
        <v xml:space="preserve"> </v>
      </c>
      <c r="P218" s="37" t="str">
        <f>IF(A218&lt;0,'CAR PROMAX FILIAL CRUZ'!T212," ")</f>
        <v xml:space="preserve"> </v>
      </c>
      <c r="Q218" s="37" t="str">
        <f>IF(A218&lt;0,'CAR PROMAX FILIAL CRUZ'!U212," ")</f>
        <v xml:space="preserve"> </v>
      </c>
      <c r="R218" s="34" t="str">
        <f>IF(A218&lt;0,'CAR PROMAX FILIAL CRUZ'!V212," ")</f>
        <v xml:space="preserve"> </v>
      </c>
    </row>
    <row r="219" spans="1:18" x14ac:dyDescent="0.25">
      <c r="A219">
        <f>'CAR PROMAX FILIAL CRUZ'!O213</f>
        <v>0</v>
      </c>
      <c r="B219" s="33" t="str">
        <f t="shared" si="9"/>
        <v xml:space="preserve"> </v>
      </c>
      <c r="C219" s="33" t="str">
        <f t="shared" si="8"/>
        <v xml:space="preserve"> </v>
      </c>
      <c r="D219" s="34" t="str">
        <f>IF(A219&lt;0,'CAR PROMAX FILIAL CRUZ'!B213," ")</f>
        <v xml:space="preserve"> </v>
      </c>
      <c r="E219" s="35" t="str">
        <f>IF(A219&lt;0,'CAR PROMAX FILIAL CRUZ'!C213," ")</f>
        <v xml:space="preserve"> </v>
      </c>
      <c r="F219" s="34" t="str">
        <f>IF(A219&lt;0,'CAR PROMAX FILIAL CRUZ'!D213," ")</f>
        <v xml:space="preserve"> </v>
      </c>
      <c r="G219" s="34" t="str">
        <f>IF(A219&lt;0,'CAR PROMAX FILIAL CRUZ'!E213," ")</f>
        <v xml:space="preserve"> </v>
      </c>
      <c r="H219" s="34" t="str">
        <f>IF(A219&lt;0,'CAR PROMAX FILIAL CRUZ'!J213," ")</f>
        <v xml:space="preserve"> </v>
      </c>
      <c r="I219" s="34"/>
      <c r="J219" s="34"/>
      <c r="K219" s="34" t="str">
        <f>IF(A219&lt;0,'CAR PROMAX FILIAL CRUZ'!O213," ")</f>
        <v xml:space="preserve"> </v>
      </c>
      <c r="L219" s="36" t="str">
        <f>IF(A219&lt;0,'CAR PROMAX FILIAL CRUZ'!P213," ")</f>
        <v xml:space="preserve"> </v>
      </c>
      <c r="M219" s="36" t="str">
        <f>IF(A219&lt;0,'CAR PROMAX FILIAL CRUZ'!Q213," ")</f>
        <v xml:space="preserve"> </v>
      </c>
      <c r="N219" s="36" t="str">
        <f>IF(A219&lt;0,'CAR PROMAX FILIAL CRUZ'!R213," ")</f>
        <v xml:space="preserve"> </v>
      </c>
      <c r="O219" s="37" t="str">
        <f>IF(A219&lt;0,'CAR PROMAX FILIAL CRUZ'!S213," ")</f>
        <v xml:space="preserve"> </v>
      </c>
      <c r="P219" s="37" t="str">
        <f>IF(A219&lt;0,'CAR PROMAX FILIAL CRUZ'!T213," ")</f>
        <v xml:space="preserve"> </v>
      </c>
      <c r="Q219" s="37" t="str">
        <f>IF(A219&lt;0,'CAR PROMAX FILIAL CRUZ'!U213," ")</f>
        <v xml:space="preserve"> </v>
      </c>
      <c r="R219" s="34" t="str">
        <f>IF(A219&lt;0,'CAR PROMAX FILIAL CRUZ'!V213," ")</f>
        <v xml:space="preserve"> </v>
      </c>
    </row>
    <row r="220" spans="1:18" x14ac:dyDescent="0.25">
      <c r="A220">
        <f>'CAR PROMAX FILIAL CRUZ'!O214</f>
        <v>0</v>
      </c>
      <c r="B220" s="33" t="str">
        <f t="shared" si="9"/>
        <v xml:space="preserve"> </v>
      </c>
      <c r="C220" s="33" t="str">
        <f t="shared" si="8"/>
        <v xml:space="preserve"> </v>
      </c>
      <c r="D220" s="34" t="str">
        <f>IF(A220&lt;0,'CAR PROMAX FILIAL CRUZ'!B214," ")</f>
        <v xml:space="preserve"> </v>
      </c>
      <c r="E220" s="35" t="str">
        <f>IF(A220&lt;0,'CAR PROMAX FILIAL CRUZ'!C214," ")</f>
        <v xml:space="preserve"> </v>
      </c>
      <c r="F220" s="34" t="str">
        <f>IF(A220&lt;0,'CAR PROMAX FILIAL CRUZ'!D214," ")</f>
        <v xml:space="preserve"> </v>
      </c>
      <c r="G220" s="34" t="str">
        <f>IF(A220&lt;0,'CAR PROMAX FILIAL CRUZ'!E214," ")</f>
        <v xml:space="preserve"> </v>
      </c>
      <c r="H220" s="34" t="str">
        <f>IF(A220&lt;0,'CAR PROMAX FILIAL CRUZ'!J214," ")</f>
        <v xml:space="preserve"> </v>
      </c>
      <c r="I220" s="34"/>
      <c r="J220" s="34"/>
      <c r="K220" s="34" t="str">
        <f>IF(A220&lt;0,'CAR PROMAX FILIAL CRUZ'!O214," ")</f>
        <v xml:space="preserve"> </v>
      </c>
      <c r="L220" s="36" t="str">
        <f>IF(A220&lt;0,'CAR PROMAX FILIAL CRUZ'!P214," ")</f>
        <v xml:space="preserve"> </v>
      </c>
      <c r="M220" s="36" t="str">
        <f>IF(A220&lt;0,'CAR PROMAX FILIAL CRUZ'!Q214," ")</f>
        <v xml:space="preserve"> </v>
      </c>
      <c r="N220" s="36" t="str">
        <f>IF(A220&lt;0,'CAR PROMAX FILIAL CRUZ'!R214," ")</f>
        <v xml:space="preserve"> </v>
      </c>
      <c r="O220" s="37" t="str">
        <f>IF(A220&lt;0,'CAR PROMAX FILIAL CRUZ'!S214," ")</f>
        <v xml:space="preserve"> </v>
      </c>
      <c r="P220" s="37" t="str">
        <f>IF(A220&lt;0,'CAR PROMAX FILIAL CRUZ'!T214," ")</f>
        <v xml:space="preserve"> </v>
      </c>
      <c r="Q220" s="37" t="str">
        <f>IF(A220&lt;0,'CAR PROMAX FILIAL CRUZ'!U214," ")</f>
        <v xml:space="preserve"> </v>
      </c>
      <c r="R220" s="34" t="str">
        <f>IF(A220&lt;0,'CAR PROMAX FILIAL CRUZ'!V214," ")</f>
        <v xml:space="preserve"> </v>
      </c>
    </row>
    <row r="221" spans="1:18" x14ac:dyDescent="0.25">
      <c r="A221">
        <f>'CAR PROMAX FILIAL CRUZ'!O215</f>
        <v>0</v>
      </c>
      <c r="B221" s="33" t="str">
        <f t="shared" si="9"/>
        <v xml:space="preserve"> </v>
      </c>
      <c r="C221" s="33" t="str">
        <f t="shared" si="8"/>
        <v xml:space="preserve"> </v>
      </c>
      <c r="D221" s="34" t="str">
        <f>IF(A221&lt;0,'CAR PROMAX FILIAL CRUZ'!B215," ")</f>
        <v xml:space="preserve"> </v>
      </c>
      <c r="E221" s="35" t="str">
        <f>IF(A221&lt;0,'CAR PROMAX FILIAL CRUZ'!C215," ")</f>
        <v xml:space="preserve"> </v>
      </c>
      <c r="F221" s="34" t="str">
        <f>IF(A221&lt;0,'CAR PROMAX FILIAL CRUZ'!D215," ")</f>
        <v xml:space="preserve"> </v>
      </c>
      <c r="G221" s="34" t="str">
        <f>IF(A221&lt;0,'CAR PROMAX FILIAL CRUZ'!E215," ")</f>
        <v xml:space="preserve"> </v>
      </c>
      <c r="H221" s="34" t="str">
        <f>IF(A221&lt;0,'CAR PROMAX FILIAL CRUZ'!J215," ")</f>
        <v xml:space="preserve"> </v>
      </c>
      <c r="I221" s="34"/>
      <c r="J221" s="34"/>
      <c r="K221" s="34" t="str">
        <f>IF(A221&lt;0,'CAR PROMAX FILIAL CRUZ'!O215," ")</f>
        <v xml:space="preserve"> </v>
      </c>
      <c r="L221" s="36" t="str">
        <f>IF(A221&lt;0,'CAR PROMAX FILIAL CRUZ'!P215," ")</f>
        <v xml:space="preserve"> </v>
      </c>
      <c r="M221" s="36" t="str">
        <f>IF(A221&lt;0,'CAR PROMAX FILIAL CRUZ'!Q215," ")</f>
        <v xml:space="preserve"> </v>
      </c>
      <c r="N221" s="36" t="str">
        <f>IF(A221&lt;0,'CAR PROMAX FILIAL CRUZ'!R215," ")</f>
        <v xml:space="preserve"> </v>
      </c>
      <c r="O221" s="37" t="str">
        <f>IF(A221&lt;0,'CAR PROMAX FILIAL CRUZ'!S215," ")</f>
        <v xml:space="preserve"> </v>
      </c>
      <c r="P221" s="37" t="str">
        <f>IF(A221&lt;0,'CAR PROMAX FILIAL CRUZ'!T215," ")</f>
        <v xml:space="preserve"> </v>
      </c>
      <c r="Q221" s="37" t="str">
        <f>IF(A221&lt;0,'CAR PROMAX FILIAL CRUZ'!U215," ")</f>
        <v xml:space="preserve"> </v>
      </c>
      <c r="R221" s="34" t="str">
        <f>IF(A221&lt;0,'CAR PROMAX FILIAL CRUZ'!V215," ")</f>
        <v xml:space="preserve"> </v>
      </c>
    </row>
    <row r="222" spans="1:18" x14ac:dyDescent="0.25">
      <c r="A222">
        <f>'CAR PROMAX FILIAL CRUZ'!O216</f>
        <v>0</v>
      </c>
      <c r="B222" s="33" t="str">
        <f t="shared" si="9"/>
        <v xml:space="preserve"> </v>
      </c>
      <c r="C222" s="33" t="str">
        <f t="shared" si="8"/>
        <v xml:space="preserve"> </v>
      </c>
      <c r="D222" s="34" t="str">
        <f>IF(A222&lt;0,'CAR PROMAX FILIAL CRUZ'!B216," ")</f>
        <v xml:space="preserve"> </v>
      </c>
      <c r="E222" s="35" t="str">
        <f>IF(A222&lt;0,'CAR PROMAX FILIAL CRUZ'!C216," ")</f>
        <v xml:space="preserve"> </v>
      </c>
      <c r="F222" s="34" t="str">
        <f>IF(A222&lt;0,'CAR PROMAX FILIAL CRUZ'!D216," ")</f>
        <v xml:space="preserve"> </v>
      </c>
      <c r="G222" s="34" t="str">
        <f>IF(A222&lt;0,'CAR PROMAX FILIAL CRUZ'!E216," ")</f>
        <v xml:space="preserve"> </v>
      </c>
      <c r="H222" s="34" t="str">
        <f>IF(A222&lt;0,'CAR PROMAX FILIAL CRUZ'!J216," ")</f>
        <v xml:space="preserve"> </v>
      </c>
      <c r="I222" s="34"/>
      <c r="J222" s="34"/>
      <c r="K222" s="34" t="str">
        <f>IF(A222&lt;0,'CAR PROMAX FILIAL CRUZ'!O216," ")</f>
        <v xml:space="preserve"> </v>
      </c>
      <c r="L222" s="36" t="str">
        <f>IF(A222&lt;0,'CAR PROMAX FILIAL CRUZ'!P216," ")</f>
        <v xml:space="preserve"> </v>
      </c>
      <c r="M222" s="36" t="str">
        <f>IF(A222&lt;0,'CAR PROMAX FILIAL CRUZ'!Q216," ")</f>
        <v xml:space="preserve"> </v>
      </c>
      <c r="N222" s="36" t="str">
        <f>IF(A222&lt;0,'CAR PROMAX FILIAL CRUZ'!R216," ")</f>
        <v xml:space="preserve"> </v>
      </c>
      <c r="O222" s="37" t="str">
        <f>IF(A222&lt;0,'CAR PROMAX FILIAL CRUZ'!S216," ")</f>
        <v xml:space="preserve"> </v>
      </c>
      <c r="P222" s="37" t="str">
        <f>IF(A222&lt;0,'CAR PROMAX FILIAL CRUZ'!T216," ")</f>
        <v xml:space="preserve"> </v>
      </c>
      <c r="Q222" s="37" t="str">
        <f>IF(A222&lt;0,'CAR PROMAX FILIAL CRUZ'!U216," ")</f>
        <v xml:space="preserve"> </v>
      </c>
      <c r="R222" s="34" t="str">
        <f>IF(A222&lt;0,'CAR PROMAX FILIAL CRUZ'!V216," ")</f>
        <v xml:space="preserve"> </v>
      </c>
    </row>
    <row r="223" spans="1:18" x14ac:dyDescent="0.25">
      <c r="A223">
        <f>'CAR PROMAX FILIAL CRUZ'!O217</f>
        <v>0</v>
      </c>
      <c r="B223" s="33" t="str">
        <f t="shared" si="9"/>
        <v xml:space="preserve"> </v>
      </c>
      <c r="C223" s="33" t="str">
        <f t="shared" si="8"/>
        <v xml:space="preserve"> </v>
      </c>
      <c r="D223" s="34" t="str">
        <f>IF(A223&lt;0,'CAR PROMAX FILIAL CRUZ'!B217," ")</f>
        <v xml:space="preserve"> </v>
      </c>
      <c r="E223" s="35" t="str">
        <f>IF(A223&lt;0,'CAR PROMAX FILIAL CRUZ'!C217," ")</f>
        <v xml:space="preserve"> </v>
      </c>
      <c r="F223" s="34" t="str">
        <f>IF(A223&lt;0,'CAR PROMAX FILIAL CRUZ'!D217," ")</f>
        <v xml:space="preserve"> </v>
      </c>
      <c r="G223" s="34" t="str">
        <f>IF(A223&lt;0,'CAR PROMAX FILIAL CRUZ'!E217," ")</f>
        <v xml:space="preserve"> </v>
      </c>
      <c r="H223" s="34" t="str">
        <f>IF(A223&lt;0,'CAR PROMAX FILIAL CRUZ'!J217," ")</f>
        <v xml:space="preserve"> </v>
      </c>
      <c r="I223" s="34"/>
      <c r="J223" s="34"/>
      <c r="K223" s="34" t="str">
        <f>IF(A223&lt;0,'CAR PROMAX FILIAL CRUZ'!O217," ")</f>
        <v xml:space="preserve"> </v>
      </c>
      <c r="L223" s="36" t="str">
        <f>IF(A223&lt;0,'CAR PROMAX FILIAL CRUZ'!P217," ")</f>
        <v xml:space="preserve"> </v>
      </c>
      <c r="M223" s="36" t="str">
        <f>IF(A223&lt;0,'CAR PROMAX FILIAL CRUZ'!Q217," ")</f>
        <v xml:space="preserve"> </v>
      </c>
      <c r="N223" s="36" t="str">
        <f>IF(A223&lt;0,'CAR PROMAX FILIAL CRUZ'!R217," ")</f>
        <v xml:space="preserve"> </v>
      </c>
      <c r="O223" s="37" t="str">
        <f>IF(A223&lt;0,'CAR PROMAX FILIAL CRUZ'!S217," ")</f>
        <v xml:space="preserve"> </v>
      </c>
      <c r="P223" s="37" t="str">
        <f>IF(A223&lt;0,'CAR PROMAX FILIAL CRUZ'!T217," ")</f>
        <v xml:space="preserve"> </v>
      </c>
      <c r="Q223" s="37" t="str">
        <f>IF(A223&lt;0,'CAR PROMAX FILIAL CRUZ'!U217," ")</f>
        <v xml:space="preserve"> </v>
      </c>
      <c r="R223" s="34" t="str">
        <f>IF(A223&lt;0,'CAR PROMAX FILIAL CRUZ'!V217," ")</f>
        <v xml:space="preserve"> </v>
      </c>
    </row>
    <row r="224" spans="1:18" x14ac:dyDescent="0.25">
      <c r="A224">
        <f>'CAR PROMAX FILIAL CRUZ'!O218</f>
        <v>0</v>
      </c>
      <c r="B224" s="33" t="str">
        <f t="shared" si="9"/>
        <v xml:space="preserve"> </v>
      </c>
      <c r="C224" s="33" t="str">
        <f t="shared" si="8"/>
        <v xml:space="preserve"> </v>
      </c>
      <c r="D224" s="34" t="str">
        <f>IF(A224&lt;0,'CAR PROMAX FILIAL CRUZ'!B218," ")</f>
        <v xml:space="preserve"> </v>
      </c>
      <c r="E224" s="35" t="str">
        <f>IF(A224&lt;0,'CAR PROMAX FILIAL CRUZ'!C218," ")</f>
        <v xml:space="preserve"> </v>
      </c>
      <c r="F224" s="34" t="str">
        <f>IF(A224&lt;0,'CAR PROMAX FILIAL CRUZ'!D218," ")</f>
        <v xml:space="preserve"> </v>
      </c>
      <c r="G224" s="34" t="str">
        <f>IF(A224&lt;0,'CAR PROMAX FILIAL CRUZ'!E218," ")</f>
        <v xml:space="preserve"> </v>
      </c>
      <c r="H224" s="34" t="str">
        <f>IF(A224&lt;0,'CAR PROMAX FILIAL CRUZ'!J218," ")</f>
        <v xml:space="preserve"> </v>
      </c>
      <c r="I224" s="34"/>
      <c r="J224" s="34"/>
      <c r="K224" s="34" t="str">
        <f>IF(A224&lt;0,'CAR PROMAX FILIAL CRUZ'!O218," ")</f>
        <v xml:space="preserve"> </v>
      </c>
      <c r="L224" s="36" t="str">
        <f>IF(A224&lt;0,'CAR PROMAX FILIAL CRUZ'!P218," ")</f>
        <v xml:space="preserve"> </v>
      </c>
      <c r="M224" s="36" t="str">
        <f>IF(A224&lt;0,'CAR PROMAX FILIAL CRUZ'!Q218," ")</f>
        <v xml:space="preserve"> </v>
      </c>
      <c r="N224" s="36" t="str">
        <f>IF(A224&lt;0,'CAR PROMAX FILIAL CRUZ'!R218," ")</f>
        <v xml:space="preserve"> </v>
      </c>
      <c r="O224" s="37" t="str">
        <f>IF(A224&lt;0,'CAR PROMAX FILIAL CRUZ'!S218," ")</f>
        <v xml:space="preserve"> </v>
      </c>
      <c r="P224" s="37" t="str">
        <f>IF(A224&lt;0,'CAR PROMAX FILIAL CRUZ'!T218," ")</f>
        <v xml:space="preserve"> </v>
      </c>
      <c r="Q224" s="37" t="str">
        <f>IF(A224&lt;0,'CAR PROMAX FILIAL CRUZ'!U218," ")</f>
        <v xml:space="preserve"> </v>
      </c>
      <c r="R224" s="34" t="str">
        <f>IF(A224&lt;0,'CAR PROMAX FILIAL CRUZ'!V218," ")</f>
        <v xml:space="preserve"> </v>
      </c>
    </row>
    <row r="225" spans="1:18" x14ac:dyDescent="0.25">
      <c r="A225">
        <f>'CAR PROMAX FILIAL CRUZ'!O219</f>
        <v>0</v>
      </c>
      <c r="B225" s="33" t="str">
        <f t="shared" si="9"/>
        <v xml:space="preserve"> </v>
      </c>
      <c r="C225" s="33" t="str">
        <f t="shared" si="8"/>
        <v xml:space="preserve"> </v>
      </c>
      <c r="D225" s="34" t="str">
        <f>IF(A225&lt;0,'CAR PROMAX FILIAL CRUZ'!B219," ")</f>
        <v xml:space="preserve"> </v>
      </c>
      <c r="E225" s="35" t="str">
        <f>IF(A225&lt;0,'CAR PROMAX FILIAL CRUZ'!C219," ")</f>
        <v xml:space="preserve"> </v>
      </c>
      <c r="F225" s="34" t="str">
        <f>IF(A225&lt;0,'CAR PROMAX FILIAL CRUZ'!D219," ")</f>
        <v xml:space="preserve"> </v>
      </c>
      <c r="G225" s="34" t="str">
        <f>IF(A225&lt;0,'CAR PROMAX FILIAL CRUZ'!E219," ")</f>
        <v xml:space="preserve"> </v>
      </c>
      <c r="H225" s="34" t="str">
        <f>IF(A225&lt;0,'CAR PROMAX FILIAL CRUZ'!J219," ")</f>
        <v xml:space="preserve"> </v>
      </c>
      <c r="I225" s="34"/>
      <c r="J225" s="34"/>
      <c r="K225" s="34" t="str">
        <f>IF(A225&lt;0,'CAR PROMAX FILIAL CRUZ'!O219," ")</f>
        <v xml:space="preserve"> </v>
      </c>
      <c r="L225" s="36" t="str">
        <f>IF(A225&lt;0,'CAR PROMAX FILIAL CRUZ'!P219," ")</f>
        <v xml:space="preserve"> </v>
      </c>
      <c r="M225" s="36" t="str">
        <f>IF(A225&lt;0,'CAR PROMAX FILIAL CRUZ'!Q219," ")</f>
        <v xml:space="preserve"> </v>
      </c>
      <c r="N225" s="36" t="str">
        <f>IF(A225&lt;0,'CAR PROMAX FILIAL CRUZ'!R219," ")</f>
        <v xml:space="preserve"> </v>
      </c>
      <c r="O225" s="37" t="str">
        <f>IF(A225&lt;0,'CAR PROMAX FILIAL CRUZ'!S219," ")</f>
        <v xml:space="preserve"> </v>
      </c>
      <c r="P225" s="37" t="str">
        <f>IF(A225&lt;0,'CAR PROMAX FILIAL CRUZ'!T219," ")</f>
        <v xml:space="preserve"> </v>
      </c>
      <c r="Q225" s="37" t="str">
        <f>IF(A225&lt;0,'CAR PROMAX FILIAL CRUZ'!U219," ")</f>
        <v xml:space="preserve"> </v>
      </c>
      <c r="R225" s="34" t="str">
        <f>IF(A225&lt;0,'CAR PROMAX FILIAL CRUZ'!V219," ")</f>
        <v xml:space="preserve"> </v>
      </c>
    </row>
    <row r="226" spans="1:18" x14ac:dyDescent="0.25">
      <c r="A226">
        <f>'CAR PROMAX FILIAL CRUZ'!O220</f>
        <v>0</v>
      </c>
      <c r="B226" s="33" t="str">
        <f t="shared" si="9"/>
        <v xml:space="preserve"> </v>
      </c>
      <c r="C226" s="33" t="str">
        <f t="shared" si="8"/>
        <v xml:space="preserve"> </v>
      </c>
      <c r="D226" s="34" t="str">
        <f>IF(A226&lt;0,'CAR PROMAX FILIAL CRUZ'!B220," ")</f>
        <v xml:space="preserve"> </v>
      </c>
      <c r="E226" s="35" t="str">
        <f>IF(A226&lt;0,'CAR PROMAX FILIAL CRUZ'!C220," ")</f>
        <v xml:space="preserve"> </v>
      </c>
      <c r="F226" s="34" t="str">
        <f>IF(A226&lt;0,'CAR PROMAX FILIAL CRUZ'!D220," ")</f>
        <v xml:space="preserve"> </v>
      </c>
      <c r="G226" s="34" t="str">
        <f>IF(A226&lt;0,'CAR PROMAX FILIAL CRUZ'!E220," ")</f>
        <v xml:space="preserve"> </v>
      </c>
      <c r="H226" s="34" t="str">
        <f>IF(A226&lt;0,'CAR PROMAX FILIAL CRUZ'!J220," ")</f>
        <v xml:space="preserve"> </v>
      </c>
      <c r="I226" s="34"/>
      <c r="J226" s="34"/>
      <c r="K226" s="34" t="str">
        <f>IF(A226&lt;0,'CAR PROMAX FILIAL CRUZ'!O220," ")</f>
        <v xml:space="preserve"> </v>
      </c>
      <c r="L226" s="36" t="str">
        <f>IF(A226&lt;0,'CAR PROMAX FILIAL CRUZ'!P220," ")</f>
        <v xml:space="preserve"> </v>
      </c>
      <c r="M226" s="36" t="str">
        <f>IF(A226&lt;0,'CAR PROMAX FILIAL CRUZ'!Q220," ")</f>
        <v xml:space="preserve"> </v>
      </c>
      <c r="N226" s="36" t="str">
        <f>IF(A226&lt;0,'CAR PROMAX FILIAL CRUZ'!R220," ")</f>
        <v xml:space="preserve"> </v>
      </c>
      <c r="O226" s="37" t="str">
        <f>IF(A226&lt;0,'CAR PROMAX FILIAL CRUZ'!S220," ")</f>
        <v xml:space="preserve"> </v>
      </c>
      <c r="P226" s="37" t="str">
        <f>IF(A226&lt;0,'CAR PROMAX FILIAL CRUZ'!T220," ")</f>
        <v xml:space="preserve"> </v>
      </c>
      <c r="Q226" s="37" t="str">
        <f>IF(A226&lt;0,'CAR PROMAX FILIAL CRUZ'!U220," ")</f>
        <v xml:space="preserve"> </v>
      </c>
      <c r="R226" s="34" t="str">
        <f>IF(A226&lt;0,'CAR PROMAX FILIAL CRUZ'!V220," ")</f>
        <v xml:space="preserve"> </v>
      </c>
    </row>
    <row r="227" spans="1:18" x14ac:dyDescent="0.25">
      <c r="A227">
        <f>'CAR PROMAX FILIAL CRUZ'!O221</f>
        <v>0</v>
      </c>
      <c r="B227" s="33" t="str">
        <f t="shared" si="9"/>
        <v xml:space="preserve"> </v>
      </c>
      <c r="C227" s="33" t="str">
        <f t="shared" si="8"/>
        <v xml:space="preserve"> </v>
      </c>
      <c r="D227" s="34" t="str">
        <f>IF(A227&lt;0,'CAR PROMAX FILIAL CRUZ'!B221," ")</f>
        <v xml:space="preserve"> </v>
      </c>
      <c r="E227" s="35" t="str">
        <f>IF(A227&lt;0,'CAR PROMAX FILIAL CRUZ'!C221," ")</f>
        <v xml:space="preserve"> </v>
      </c>
      <c r="F227" s="34" t="str">
        <f>IF(A227&lt;0,'CAR PROMAX FILIAL CRUZ'!D221," ")</f>
        <v xml:space="preserve"> </v>
      </c>
      <c r="G227" s="34" t="str">
        <f>IF(A227&lt;0,'CAR PROMAX FILIAL CRUZ'!E221," ")</f>
        <v xml:space="preserve"> </v>
      </c>
      <c r="H227" s="34" t="str">
        <f>IF(A227&lt;0,'CAR PROMAX FILIAL CRUZ'!J221," ")</f>
        <v xml:space="preserve"> </v>
      </c>
      <c r="I227" s="34"/>
      <c r="J227" s="34"/>
      <c r="K227" s="34" t="str">
        <f>IF(A227&lt;0,'CAR PROMAX FILIAL CRUZ'!O221," ")</f>
        <v xml:space="preserve"> </v>
      </c>
      <c r="L227" s="36" t="str">
        <f>IF(A227&lt;0,'CAR PROMAX FILIAL CRUZ'!P221," ")</f>
        <v xml:space="preserve"> </v>
      </c>
      <c r="M227" s="36" t="str">
        <f>IF(A227&lt;0,'CAR PROMAX FILIAL CRUZ'!Q221," ")</f>
        <v xml:space="preserve"> </v>
      </c>
      <c r="N227" s="36" t="str">
        <f>IF(A227&lt;0,'CAR PROMAX FILIAL CRUZ'!R221," ")</f>
        <v xml:space="preserve"> </v>
      </c>
      <c r="O227" s="37" t="str">
        <f>IF(A227&lt;0,'CAR PROMAX FILIAL CRUZ'!S221," ")</f>
        <v xml:space="preserve"> </v>
      </c>
      <c r="P227" s="37" t="str">
        <f>IF(A227&lt;0,'CAR PROMAX FILIAL CRUZ'!T221," ")</f>
        <v xml:space="preserve"> </v>
      </c>
      <c r="Q227" s="37" t="str">
        <f>IF(A227&lt;0,'CAR PROMAX FILIAL CRUZ'!U221," ")</f>
        <v xml:space="preserve"> </v>
      </c>
      <c r="R227" s="34" t="str">
        <f>IF(A227&lt;0,'CAR PROMAX FILIAL CRUZ'!V221," ")</f>
        <v xml:space="preserve"> </v>
      </c>
    </row>
    <row r="228" spans="1:18" x14ac:dyDescent="0.25">
      <c r="A228">
        <f>'CAR PROMAX FILIAL CRUZ'!O222</f>
        <v>0</v>
      </c>
      <c r="B228" s="33" t="str">
        <f t="shared" si="9"/>
        <v xml:space="preserve"> </v>
      </c>
      <c r="C228" s="33" t="str">
        <f t="shared" si="8"/>
        <v xml:space="preserve"> </v>
      </c>
      <c r="D228" s="34" t="str">
        <f>IF(A228&lt;0,'CAR PROMAX FILIAL CRUZ'!B222," ")</f>
        <v xml:space="preserve"> </v>
      </c>
      <c r="E228" s="35" t="str">
        <f>IF(A228&lt;0,'CAR PROMAX FILIAL CRUZ'!C222," ")</f>
        <v xml:space="preserve"> </v>
      </c>
      <c r="F228" s="34" t="str">
        <f>IF(A228&lt;0,'CAR PROMAX FILIAL CRUZ'!D222," ")</f>
        <v xml:space="preserve"> </v>
      </c>
      <c r="G228" s="34" t="str">
        <f>IF(A228&lt;0,'CAR PROMAX FILIAL CRUZ'!E222," ")</f>
        <v xml:space="preserve"> </v>
      </c>
      <c r="H228" s="34" t="str">
        <f>IF(A228&lt;0,'CAR PROMAX FILIAL CRUZ'!J222," ")</f>
        <v xml:space="preserve"> </v>
      </c>
      <c r="I228" s="34"/>
      <c r="J228" s="34"/>
      <c r="K228" s="34" t="str">
        <f>IF(A228&lt;0,'CAR PROMAX FILIAL CRUZ'!O222," ")</f>
        <v xml:space="preserve"> </v>
      </c>
      <c r="L228" s="36" t="str">
        <f>IF(A228&lt;0,'CAR PROMAX FILIAL CRUZ'!P222," ")</f>
        <v xml:space="preserve"> </v>
      </c>
      <c r="M228" s="36" t="str">
        <f>IF(A228&lt;0,'CAR PROMAX FILIAL CRUZ'!Q222," ")</f>
        <v xml:space="preserve"> </v>
      </c>
      <c r="N228" s="36" t="str">
        <f>IF(A228&lt;0,'CAR PROMAX FILIAL CRUZ'!R222," ")</f>
        <v xml:space="preserve"> </v>
      </c>
      <c r="O228" s="37" t="str">
        <f>IF(A228&lt;0,'CAR PROMAX FILIAL CRUZ'!S222," ")</f>
        <v xml:space="preserve"> </v>
      </c>
      <c r="P228" s="37" t="str">
        <f>IF(A228&lt;0,'CAR PROMAX FILIAL CRUZ'!T222," ")</f>
        <v xml:space="preserve"> </v>
      </c>
      <c r="Q228" s="37" t="str">
        <f>IF(A228&lt;0,'CAR PROMAX FILIAL CRUZ'!U222," ")</f>
        <v xml:space="preserve"> </v>
      </c>
      <c r="R228" s="34" t="str">
        <f>IF(A228&lt;0,'CAR PROMAX FILIAL CRUZ'!V222," ")</f>
        <v xml:space="preserve"> </v>
      </c>
    </row>
    <row r="229" spans="1:18" x14ac:dyDescent="0.25">
      <c r="A229">
        <f>'CAR PROMAX FILIAL CRUZ'!O223</f>
        <v>0</v>
      </c>
      <c r="B229" s="33" t="str">
        <f t="shared" si="9"/>
        <v xml:space="preserve"> </v>
      </c>
      <c r="C229" s="33" t="str">
        <f t="shared" si="8"/>
        <v xml:space="preserve"> </v>
      </c>
      <c r="D229" s="34" t="str">
        <f>IF(A229&lt;0,'CAR PROMAX FILIAL CRUZ'!B223," ")</f>
        <v xml:space="preserve"> </v>
      </c>
      <c r="E229" s="35" t="str">
        <f>IF(A229&lt;0,'CAR PROMAX FILIAL CRUZ'!C223," ")</f>
        <v xml:space="preserve"> </v>
      </c>
      <c r="F229" s="34" t="str">
        <f>IF(A229&lt;0,'CAR PROMAX FILIAL CRUZ'!D223," ")</f>
        <v xml:space="preserve"> </v>
      </c>
      <c r="G229" s="34" t="str">
        <f>IF(A229&lt;0,'CAR PROMAX FILIAL CRUZ'!E223," ")</f>
        <v xml:space="preserve"> </v>
      </c>
      <c r="H229" s="34" t="str">
        <f>IF(A229&lt;0,'CAR PROMAX FILIAL CRUZ'!J223," ")</f>
        <v xml:space="preserve"> </v>
      </c>
      <c r="I229" s="34"/>
      <c r="J229" s="34"/>
      <c r="K229" s="34" t="str">
        <f>IF(A229&lt;0,'CAR PROMAX FILIAL CRUZ'!O223," ")</f>
        <v xml:space="preserve"> </v>
      </c>
      <c r="L229" s="36" t="str">
        <f>IF(A229&lt;0,'CAR PROMAX FILIAL CRUZ'!P223," ")</f>
        <v xml:space="preserve"> </v>
      </c>
      <c r="M229" s="36" t="str">
        <f>IF(A229&lt;0,'CAR PROMAX FILIAL CRUZ'!Q223," ")</f>
        <v xml:space="preserve"> </v>
      </c>
      <c r="N229" s="36" t="str">
        <f>IF(A229&lt;0,'CAR PROMAX FILIAL CRUZ'!R223," ")</f>
        <v xml:space="preserve"> </v>
      </c>
      <c r="O229" s="37" t="str">
        <f>IF(A229&lt;0,'CAR PROMAX FILIAL CRUZ'!S223," ")</f>
        <v xml:space="preserve"> </v>
      </c>
      <c r="P229" s="37" t="str">
        <f>IF(A229&lt;0,'CAR PROMAX FILIAL CRUZ'!T223," ")</f>
        <v xml:space="preserve"> </v>
      </c>
      <c r="Q229" s="37" t="str">
        <f>IF(A229&lt;0,'CAR PROMAX FILIAL CRUZ'!U223," ")</f>
        <v xml:space="preserve"> </v>
      </c>
      <c r="R229" s="34" t="str">
        <f>IF(A229&lt;0,'CAR PROMAX FILIAL CRUZ'!V223," ")</f>
        <v xml:space="preserve"> </v>
      </c>
    </row>
    <row r="230" spans="1:18" x14ac:dyDescent="0.25">
      <c r="A230">
        <f>'CAR PROMAX FILIAL CRUZ'!O224</f>
        <v>0</v>
      </c>
      <c r="B230" s="33" t="str">
        <f t="shared" si="9"/>
        <v xml:space="preserve"> </v>
      </c>
      <c r="C230" s="33" t="str">
        <f t="shared" si="8"/>
        <v xml:space="preserve"> </v>
      </c>
      <c r="D230" s="34" t="str">
        <f>IF(A230&lt;0,'CAR PROMAX FILIAL CRUZ'!B224," ")</f>
        <v xml:space="preserve"> </v>
      </c>
      <c r="E230" s="35" t="str">
        <f>IF(A230&lt;0,'CAR PROMAX FILIAL CRUZ'!C224," ")</f>
        <v xml:space="preserve"> </v>
      </c>
      <c r="F230" s="34" t="str">
        <f>IF(A230&lt;0,'CAR PROMAX FILIAL CRUZ'!D224," ")</f>
        <v xml:space="preserve"> </v>
      </c>
      <c r="G230" s="34" t="str">
        <f>IF(A230&lt;0,'CAR PROMAX FILIAL CRUZ'!E224," ")</f>
        <v xml:space="preserve"> </v>
      </c>
      <c r="H230" s="34" t="str">
        <f>IF(A230&lt;0,'CAR PROMAX FILIAL CRUZ'!J224," ")</f>
        <v xml:space="preserve"> </v>
      </c>
      <c r="I230" s="34"/>
      <c r="J230" s="34"/>
      <c r="K230" s="34" t="str">
        <f>IF(A230&lt;0,'CAR PROMAX FILIAL CRUZ'!O224," ")</f>
        <v xml:space="preserve"> </v>
      </c>
      <c r="L230" s="36" t="str">
        <f>IF(A230&lt;0,'CAR PROMAX FILIAL CRUZ'!P224," ")</f>
        <v xml:space="preserve"> </v>
      </c>
      <c r="M230" s="36" t="str">
        <f>IF(A230&lt;0,'CAR PROMAX FILIAL CRUZ'!Q224," ")</f>
        <v xml:space="preserve"> </v>
      </c>
      <c r="N230" s="36" t="str">
        <f>IF(A230&lt;0,'CAR PROMAX FILIAL CRUZ'!R224," ")</f>
        <v xml:space="preserve"> </v>
      </c>
      <c r="O230" s="37" t="str">
        <f>IF(A230&lt;0,'CAR PROMAX FILIAL CRUZ'!S224," ")</f>
        <v xml:space="preserve"> </v>
      </c>
      <c r="P230" s="37" t="str">
        <f>IF(A230&lt;0,'CAR PROMAX FILIAL CRUZ'!T224," ")</f>
        <v xml:space="preserve"> </v>
      </c>
      <c r="Q230" s="37" t="str">
        <f>IF(A230&lt;0,'CAR PROMAX FILIAL CRUZ'!U224," ")</f>
        <v xml:space="preserve"> </v>
      </c>
      <c r="R230" s="34" t="str">
        <f>IF(A230&lt;0,'CAR PROMAX FILIAL CRUZ'!V224," ")</f>
        <v xml:space="preserve"> </v>
      </c>
    </row>
    <row r="231" spans="1:18" x14ac:dyDescent="0.25">
      <c r="A231">
        <f>'CAR PROMAX FILIAL CRUZ'!O225</f>
        <v>0</v>
      </c>
      <c r="B231" s="33" t="str">
        <f t="shared" si="9"/>
        <v xml:space="preserve"> </v>
      </c>
      <c r="C231" s="33" t="str">
        <f t="shared" si="8"/>
        <v xml:space="preserve"> </v>
      </c>
      <c r="D231" s="34" t="str">
        <f>IF(A231&lt;0,'CAR PROMAX FILIAL CRUZ'!B225," ")</f>
        <v xml:space="preserve"> </v>
      </c>
      <c r="E231" s="35" t="str">
        <f>IF(A231&lt;0,'CAR PROMAX FILIAL CRUZ'!C225," ")</f>
        <v xml:space="preserve"> </v>
      </c>
      <c r="F231" s="34" t="str">
        <f>IF(A231&lt;0,'CAR PROMAX FILIAL CRUZ'!D225," ")</f>
        <v xml:space="preserve"> </v>
      </c>
      <c r="G231" s="34" t="str">
        <f>IF(A231&lt;0,'CAR PROMAX FILIAL CRUZ'!E225," ")</f>
        <v xml:space="preserve"> </v>
      </c>
      <c r="H231" s="34" t="str">
        <f>IF(A231&lt;0,'CAR PROMAX FILIAL CRUZ'!J225," ")</f>
        <v xml:space="preserve"> </v>
      </c>
      <c r="I231" s="34"/>
      <c r="J231" s="34"/>
      <c r="K231" s="34" t="str">
        <f>IF(A231&lt;0,'CAR PROMAX FILIAL CRUZ'!O225," ")</f>
        <v xml:space="preserve"> </v>
      </c>
      <c r="L231" s="36" t="str">
        <f>IF(A231&lt;0,'CAR PROMAX FILIAL CRUZ'!P225," ")</f>
        <v xml:space="preserve"> </v>
      </c>
      <c r="M231" s="36" t="str">
        <f>IF(A231&lt;0,'CAR PROMAX FILIAL CRUZ'!Q225," ")</f>
        <v xml:space="preserve"> </v>
      </c>
      <c r="N231" s="36" t="str">
        <f>IF(A231&lt;0,'CAR PROMAX FILIAL CRUZ'!R225," ")</f>
        <v xml:space="preserve"> </v>
      </c>
      <c r="O231" s="37" t="str">
        <f>IF(A231&lt;0,'CAR PROMAX FILIAL CRUZ'!S225," ")</f>
        <v xml:space="preserve"> </v>
      </c>
      <c r="P231" s="37" t="str">
        <f>IF(A231&lt;0,'CAR PROMAX FILIAL CRUZ'!T225," ")</f>
        <v xml:space="preserve"> </v>
      </c>
      <c r="Q231" s="37" t="str">
        <f>IF(A231&lt;0,'CAR PROMAX FILIAL CRUZ'!U225," ")</f>
        <v xml:space="preserve"> </v>
      </c>
      <c r="R231" s="34" t="str">
        <f>IF(A231&lt;0,'CAR PROMAX FILIAL CRUZ'!V225," ")</f>
        <v xml:space="preserve"> </v>
      </c>
    </row>
    <row r="232" spans="1:18" x14ac:dyDescent="0.25">
      <c r="A232">
        <f>'CAR PROMAX FILIAL CRUZ'!O226</f>
        <v>0</v>
      </c>
      <c r="B232" s="33" t="str">
        <f t="shared" si="9"/>
        <v xml:space="preserve"> </v>
      </c>
      <c r="C232" s="33" t="str">
        <f t="shared" si="8"/>
        <v xml:space="preserve"> </v>
      </c>
      <c r="D232" s="34" t="str">
        <f>IF(A232&lt;0,'CAR PROMAX FILIAL CRUZ'!B226," ")</f>
        <v xml:space="preserve"> </v>
      </c>
      <c r="E232" s="35" t="str">
        <f>IF(A232&lt;0,'CAR PROMAX FILIAL CRUZ'!C226," ")</f>
        <v xml:space="preserve"> </v>
      </c>
      <c r="F232" s="34" t="str">
        <f>IF(A232&lt;0,'CAR PROMAX FILIAL CRUZ'!D226," ")</f>
        <v xml:space="preserve"> </v>
      </c>
      <c r="G232" s="34" t="str">
        <f>IF(A232&lt;0,'CAR PROMAX FILIAL CRUZ'!E226," ")</f>
        <v xml:space="preserve"> </v>
      </c>
      <c r="H232" s="34" t="str">
        <f>IF(A232&lt;0,'CAR PROMAX FILIAL CRUZ'!J226," ")</f>
        <v xml:space="preserve"> </v>
      </c>
      <c r="I232" s="34"/>
      <c r="J232" s="34"/>
      <c r="K232" s="34" t="str">
        <f>IF(A232&lt;0,'CAR PROMAX FILIAL CRUZ'!O226," ")</f>
        <v xml:space="preserve"> </v>
      </c>
      <c r="L232" s="36" t="str">
        <f>IF(A232&lt;0,'CAR PROMAX FILIAL CRUZ'!P226," ")</f>
        <v xml:space="preserve"> </v>
      </c>
      <c r="M232" s="36" t="str">
        <f>IF(A232&lt;0,'CAR PROMAX FILIAL CRUZ'!Q226," ")</f>
        <v xml:space="preserve"> </v>
      </c>
      <c r="N232" s="36" t="str">
        <f>IF(A232&lt;0,'CAR PROMAX FILIAL CRUZ'!R226," ")</f>
        <v xml:space="preserve"> </v>
      </c>
      <c r="O232" s="37" t="str">
        <f>IF(A232&lt;0,'CAR PROMAX FILIAL CRUZ'!S226," ")</f>
        <v xml:space="preserve"> </v>
      </c>
      <c r="P232" s="37" t="str">
        <f>IF(A232&lt;0,'CAR PROMAX FILIAL CRUZ'!T226," ")</f>
        <v xml:space="preserve"> </v>
      </c>
      <c r="Q232" s="37" t="str">
        <f>IF(A232&lt;0,'CAR PROMAX FILIAL CRUZ'!U226," ")</f>
        <v xml:space="preserve"> </v>
      </c>
      <c r="R232" s="34" t="str">
        <f>IF(A232&lt;0,'CAR PROMAX FILIAL CRUZ'!V226," ")</f>
        <v xml:space="preserve"> </v>
      </c>
    </row>
    <row r="233" spans="1:18" x14ac:dyDescent="0.25">
      <c r="A233">
        <f>'CAR PROMAX FILIAL CRUZ'!O227</f>
        <v>0</v>
      </c>
      <c r="B233" s="33" t="str">
        <f t="shared" si="9"/>
        <v xml:space="preserve"> </v>
      </c>
      <c r="C233" s="33" t="str">
        <f t="shared" si="8"/>
        <v xml:space="preserve"> </v>
      </c>
      <c r="D233" s="34" t="str">
        <f>IF(A233&lt;0,'CAR PROMAX FILIAL CRUZ'!B227," ")</f>
        <v xml:space="preserve"> </v>
      </c>
      <c r="E233" s="35" t="str">
        <f>IF(A233&lt;0,'CAR PROMAX FILIAL CRUZ'!C227," ")</f>
        <v xml:space="preserve"> </v>
      </c>
      <c r="F233" s="34" t="str">
        <f>IF(A233&lt;0,'CAR PROMAX FILIAL CRUZ'!D227," ")</f>
        <v xml:space="preserve"> </v>
      </c>
      <c r="G233" s="34" t="str">
        <f>IF(A233&lt;0,'CAR PROMAX FILIAL CRUZ'!E227," ")</f>
        <v xml:space="preserve"> </v>
      </c>
      <c r="H233" s="34" t="str">
        <f>IF(A233&lt;0,'CAR PROMAX FILIAL CRUZ'!J227," ")</f>
        <v xml:space="preserve"> </v>
      </c>
      <c r="I233" s="34"/>
      <c r="J233" s="34"/>
      <c r="K233" s="34" t="str">
        <f>IF(A233&lt;0,'CAR PROMAX FILIAL CRUZ'!O227," ")</f>
        <v xml:space="preserve"> </v>
      </c>
      <c r="L233" s="36" t="str">
        <f>IF(A233&lt;0,'CAR PROMAX FILIAL CRUZ'!P227," ")</f>
        <v xml:space="preserve"> </v>
      </c>
      <c r="M233" s="36" t="str">
        <f>IF(A233&lt;0,'CAR PROMAX FILIAL CRUZ'!Q227," ")</f>
        <v xml:space="preserve"> </v>
      </c>
      <c r="N233" s="36" t="str">
        <f>IF(A233&lt;0,'CAR PROMAX FILIAL CRUZ'!R227," ")</f>
        <v xml:space="preserve"> </v>
      </c>
      <c r="O233" s="37" t="str">
        <f>IF(A233&lt;0,'CAR PROMAX FILIAL CRUZ'!S227," ")</f>
        <v xml:space="preserve"> </v>
      </c>
      <c r="P233" s="37" t="str">
        <f>IF(A233&lt;0,'CAR PROMAX FILIAL CRUZ'!T227," ")</f>
        <v xml:space="preserve"> </v>
      </c>
      <c r="Q233" s="37" t="str">
        <f>IF(A233&lt;0,'CAR PROMAX FILIAL CRUZ'!U227," ")</f>
        <v xml:space="preserve"> </v>
      </c>
      <c r="R233" s="34" t="str">
        <f>IF(A233&lt;0,'CAR PROMAX FILIAL CRUZ'!V227," ")</f>
        <v xml:space="preserve"> </v>
      </c>
    </row>
    <row r="234" spans="1:18" x14ac:dyDescent="0.25">
      <c r="A234">
        <f>'CAR PROMAX FILIAL CRUZ'!O228</f>
        <v>0</v>
      </c>
      <c r="B234" s="33" t="str">
        <f t="shared" si="9"/>
        <v xml:space="preserve"> </v>
      </c>
      <c r="C234" s="33" t="str">
        <f t="shared" si="8"/>
        <v xml:space="preserve"> </v>
      </c>
      <c r="D234" s="34" t="str">
        <f>IF(A234&lt;0,'CAR PROMAX FILIAL CRUZ'!B228," ")</f>
        <v xml:space="preserve"> </v>
      </c>
      <c r="E234" s="35" t="str">
        <f>IF(A234&lt;0,'CAR PROMAX FILIAL CRUZ'!C228," ")</f>
        <v xml:space="preserve"> </v>
      </c>
      <c r="F234" s="34" t="str">
        <f>IF(A234&lt;0,'CAR PROMAX FILIAL CRUZ'!D228," ")</f>
        <v xml:space="preserve"> </v>
      </c>
      <c r="G234" s="34" t="str">
        <f>IF(A234&lt;0,'CAR PROMAX FILIAL CRUZ'!E228," ")</f>
        <v xml:space="preserve"> </v>
      </c>
      <c r="H234" s="34" t="str">
        <f>IF(A234&lt;0,'CAR PROMAX FILIAL CRUZ'!J228," ")</f>
        <v xml:space="preserve"> </v>
      </c>
      <c r="I234" s="34"/>
      <c r="J234" s="34"/>
      <c r="K234" s="34" t="str">
        <f>IF(A234&lt;0,'CAR PROMAX FILIAL CRUZ'!O228," ")</f>
        <v xml:space="preserve"> </v>
      </c>
      <c r="L234" s="36" t="str">
        <f>IF(A234&lt;0,'CAR PROMAX FILIAL CRUZ'!P228," ")</f>
        <v xml:space="preserve"> </v>
      </c>
      <c r="M234" s="36" t="str">
        <f>IF(A234&lt;0,'CAR PROMAX FILIAL CRUZ'!Q228," ")</f>
        <v xml:space="preserve"> </v>
      </c>
      <c r="N234" s="36" t="str">
        <f>IF(A234&lt;0,'CAR PROMAX FILIAL CRUZ'!R228," ")</f>
        <v xml:space="preserve"> </v>
      </c>
      <c r="O234" s="37" t="str">
        <f>IF(A234&lt;0,'CAR PROMAX FILIAL CRUZ'!S228," ")</f>
        <v xml:space="preserve"> </v>
      </c>
      <c r="P234" s="37" t="str">
        <f>IF(A234&lt;0,'CAR PROMAX FILIAL CRUZ'!T228," ")</f>
        <v xml:space="preserve"> </v>
      </c>
      <c r="Q234" s="37" t="str">
        <f>IF(A234&lt;0,'CAR PROMAX FILIAL CRUZ'!U228," ")</f>
        <v xml:space="preserve"> </v>
      </c>
      <c r="R234" s="34" t="str">
        <f>IF(A234&lt;0,'CAR PROMAX FILIAL CRUZ'!V228," ")</f>
        <v xml:space="preserve"> </v>
      </c>
    </row>
    <row r="235" spans="1:18" x14ac:dyDescent="0.25">
      <c r="A235">
        <f>'CAR PROMAX FILIAL CRUZ'!O229</f>
        <v>0</v>
      </c>
      <c r="B235" s="33" t="str">
        <f t="shared" si="9"/>
        <v xml:space="preserve"> </v>
      </c>
      <c r="C235" s="33" t="str">
        <f t="shared" si="8"/>
        <v xml:space="preserve"> </v>
      </c>
      <c r="D235" s="34" t="str">
        <f>IF(A235&lt;0,'CAR PROMAX FILIAL CRUZ'!B229," ")</f>
        <v xml:space="preserve"> </v>
      </c>
      <c r="E235" s="35" t="str">
        <f>IF(A235&lt;0,'CAR PROMAX FILIAL CRUZ'!C229," ")</f>
        <v xml:space="preserve"> </v>
      </c>
      <c r="F235" s="34" t="str">
        <f>IF(A235&lt;0,'CAR PROMAX FILIAL CRUZ'!D229," ")</f>
        <v xml:space="preserve"> </v>
      </c>
      <c r="G235" s="34" t="str">
        <f>IF(A235&lt;0,'CAR PROMAX FILIAL CRUZ'!E229," ")</f>
        <v xml:space="preserve"> </v>
      </c>
      <c r="H235" s="34" t="str">
        <f>IF(A235&lt;0,'CAR PROMAX FILIAL CRUZ'!J229," ")</f>
        <v xml:space="preserve"> </v>
      </c>
      <c r="I235" s="34"/>
      <c r="J235" s="34"/>
      <c r="K235" s="34" t="str">
        <f>IF(A235&lt;0,'CAR PROMAX FILIAL CRUZ'!O229," ")</f>
        <v xml:space="preserve"> </v>
      </c>
      <c r="L235" s="36" t="str">
        <f>IF(A235&lt;0,'CAR PROMAX FILIAL CRUZ'!P229," ")</f>
        <v xml:space="preserve"> </v>
      </c>
      <c r="M235" s="36" t="str">
        <f>IF(A235&lt;0,'CAR PROMAX FILIAL CRUZ'!Q229," ")</f>
        <v xml:space="preserve"> </v>
      </c>
      <c r="N235" s="36" t="str">
        <f>IF(A235&lt;0,'CAR PROMAX FILIAL CRUZ'!R229," ")</f>
        <v xml:space="preserve"> </v>
      </c>
      <c r="O235" s="37" t="str">
        <f>IF(A235&lt;0,'CAR PROMAX FILIAL CRUZ'!S229," ")</f>
        <v xml:space="preserve"> </v>
      </c>
      <c r="P235" s="37" t="str">
        <f>IF(A235&lt;0,'CAR PROMAX FILIAL CRUZ'!T229," ")</f>
        <v xml:space="preserve"> </v>
      </c>
      <c r="Q235" s="37" t="str">
        <f>IF(A235&lt;0,'CAR PROMAX FILIAL CRUZ'!U229," ")</f>
        <v xml:space="preserve"> </v>
      </c>
      <c r="R235" s="34" t="str">
        <f>IF(A235&lt;0,'CAR PROMAX FILIAL CRUZ'!V229," ")</f>
        <v xml:space="preserve"> </v>
      </c>
    </row>
    <row r="236" spans="1:18" x14ac:dyDescent="0.25">
      <c r="A236">
        <f>'CAR PROMAX FILIAL CRUZ'!O230</f>
        <v>0</v>
      </c>
      <c r="B236" s="33" t="str">
        <f t="shared" si="9"/>
        <v xml:space="preserve"> </v>
      </c>
      <c r="C236" s="33" t="str">
        <f t="shared" si="8"/>
        <v xml:space="preserve"> </v>
      </c>
      <c r="D236" s="34" t="str">
        <f>IF(A236&lt;0,'CAR PROMAX FILIAL CRUZ'!B230," ")</f>
        <v xml:space="preserve"> </v>
      </c>
      <c r="E236" s="35" t="str">
        <f>IF(A236&lt;0,'CAR PROMAX FILIAL CRUZ'!C230," ")</f>
        <v xml:space="preserve"> </v>
      </c>
      <c r="F236" s="34" t="str">
        <f>IF(A236&lt;0,'CAR PROMAX FILIAL CRUZ'!D230," ")</f>
        <v xml:space="preserve"> </v>
      </c>
      <c r="G236" s="34" t="str">
        <f>IF(A236&lt;0,'CAR PROMAX FILIAL CRUZ'!E230," ")</f>
        <v xml:space="preserve"> </v>
      </c>
      <c r="H236" s="34" t="str">
        <f>IF(A236&lt;0,'CAR PROMAX FILIAL CRUZ'!J230," ")</f>
        <v xml:space="preserve"> </v>
      </c>
      <c r="I236" s="34"/>
      <c r="J236" s="34"/>
      <c r="K236" s="34" t="str">
        <f>IF(A236&lt;0,'CAR PROMAX FILIAL CRUZ'!O230," ")</f>
        <v xml:space="preserve"> </v>
      </c>
      <c r="L236" s="36" t="str">
        <f>IF(A236&lt;0,'CAR PROMAX FILIAL CRUZ'!P230," ")</f>
        <v xml:space="preserve"> </v>
      </c>
      <c r="M236" s="36" t="str">
        <f>IF(A236&lt;0,'CAR PROMAX FILIAL CRUZ'!Q230," ")</f>
        <v xml:space="preserve"> </v>
      </c>
      <c r="N236" s="36" t="str">
        <f>IF(A236&lt;0,'CAR PROMAX FILIAL CRUZ'!R230," ")</f>
        <v xml:space="preserve"> </v>
      </c>
      <c r="O236" s="37" t="str">
        <f>IF(A236&lt;0,'CAR PROMAX FILIAL CRUZ'!S230," ")</f>
        <v xml:space="preserve"> </v>
      </c>
      <c r="P236" s="37" t="str">
        <f>IF(A236&lt;0,'CAR PROMAX FILIAL CRUZ'!T230," ")</f>
        <v xml:space="preserve"> </v>
      </c>
      <c r="Q236" s="37" t="str">
        <f>IF(A236&lt;0,'CAR PROMAX FILIAL CRUZ'!U230," ")</f>
        <v xml:space="preserve"> </v>
      </c>
      <c r="R236" s="34" t="str">
        <f>IF(A236&lt;0,'CAR PROMAX FILIAL CRUZ'!V230," ")</f>
        <v xml:space="preserve"> </v>
      </c>
    </row>
    <row r="237" spans="1:18" x14ac:dyDescent="0.25">
      <c r="A237">
        <f>'CAR PROMAX FILIAL CRUZ'!O231</f>
        <v>0</v>
      </c>
      <c r="B237" s="33" t="str">
        <f t="shared" si="9"/>
        <v xml:space="preserve"> </v>
      </c>
      <c r="C237" s="33" t="str">
        <f t="shared" si="8"/>
        <v xml:space="preserve"> </v>
      </c>
      <c r="D237" s="34" t="str">
        <f>IF(A237&lt;0,'CAR PROMAX FILIAL CRUZ'!B231," ")</f>
        <v xml:space="preserve"> </v>
      </c>
      <c r="E237" s="35" t="str">
        <f>IF(A237&lt;0,'CAR PROMAX FILIAL CRUZ'!C231," ")</f>
        <v xml:space="preserve"> </v>
      </c>
      <c r="F237" s="34" t="str">
        <f>IF(A237&lt;0,'CAR PROMAX FILIAL CRUZ'!D231," ")</f>
        <v xml:space="preserve"> </v>
      </c>
      <c r="G237" s="34" t="str">
        <f>IF(A237&lt;0,'CAR PROMAX FILIAL CRUZ'!E231," ")</f>
        <v xml:space="preserve"> </v>
      </c>
      <c r="H237" s="34" t="str">
        <f>IF(A237&lt;0,'CAR PROMAX FILIAL CRUZ'!J231," ")</f>
        <v xml:space="preserve"> </v>
      </c>
      <c r="I237" s="34"/>
      <c r="J237" s="34"/>
      <c r="K237" s="34" t="str">
        <f>IF(A237&lt;0,'CAR PROMAX FILIAL CRUZ'!O231," ")</f>
        <v xml:space="preserve"> </v>
      </c>
      <c r="L237" s="36" t="str">
        <f>IF(A237&lt;0,'CAR PROMAX FILIAL CRUZ'!P231," ")</f>
        <v xml:space="preserve"> </v>
      </c>
      <c r="M237" s="36" t="str">
        <f>IF(A237&lt;0,'CAR PROMAX FILIAL CRUZ'!Q231," ")</f>
        <v xml:space="preserve"> </v>
      </c>
      <c r="N237" s="36" t="str">
        <f>IF(A237&lt;0,'CAR PROMAX FILIAL CRUZ'!R231," ")</f>
        <v xml:space="preserve"> </v>
      </c>
      <c r="O237" s="37" t="str">
        <f>IF(A237&lt;0,'CAR PROMAX FILIAL CRUZ'!S231," ")</f>
        <v xml:space="preserve"> </v>
      </c>
      <c r="P237" s="37" t="str">
        <f>IF(A237&lt;0,'CAR PROMAX FILIAL CRUZ'!T231," ")</f>
        <v xml:space="preserve"> </v>
      </c>
      <c r="Q237" s="37" t="str">
        <f>IF(A237&lt;0,'CAR PROMAX FILIAL CRUZ'!U231," ")</f>
        <v xml:space="preserve"> </v>
      </c>
      <c r="R237" s="34" t="str">
        <f>IF(A237&lt;0,'CAR PROMAX FILIAL CRUZ'!V231," ")</f>
        <v xml:space="preserve"> </v>
      </c>
    </row>
    <row r="238" spans="1:18" x14ac:dyDescent="0.25">
      <c r="A238">
        <f>'CAR PROMAX FILIAL CRUZ'!O232</f>
        <v>0</v>
      </c>
      <c r="B238" s="33" t="str">
        <f t="shared" si="9"/>
        <v xml:space="preserve"> </v>
      </c>
      <c r="C238" s="33" t="str">
        <f t="shared" si="8"/>
        <v xml:space="preserve"> </v>
      </c>
      <c r="D238" s="34" t="str">
        <f>IF(A238&lt;0,'CAR PROMAX FILIAL CRUZ'!B232," ")</f>
        <v xml:space="preserve"> </v>
      </c>
      <c r="E238" s="35" t="str">
        <f>IF(A238&lt;0,'CAR PROMAX FILIAL CRUZ'!C232," ")</f>
        <v xml:space="preserve"> </v>
      </c>
      <c r="F238" s="34" t="str">
        <f>IF(A238&lt;0,'CAR PROMAX FILIAL CRUZ'!D232," ")</f>
        <v xml:space="preserve"> </v>
      </c>
      <c r="G238" s="34" t="str">
        <f>IF(A238&lt;0,'CAR PROMAX FILIAL CRUZ'!E232," ")</f>
        <v xml:space="preserve"> </v>
      </c>
      <c r="H238" s="34" t="str">
        <f>IF(A238&lt;0,'CAR PROMAX FILIAL CRUZ'!J232," ")</f>
        <v xml:space="preserve"> </v>
      </c>
      <c r="I238" s="34"/>
      <c r="J238" s="34"/>
      <c r="K238" s="34" t="str">
        <f>IF(A238&lt;0,'CAR PROMAX FILIAL CRUZ'!O232," ")</f>
        <v xml:space="preserve"> </v>
      </c>
      <c r="L238" s="36" t="str">
        <f>IF(A238&lt;0,'CAR PROMAX FILIAL CRUZ'!P232," ")</f>
        <v xml:space="preserve"> </v>
      </c>
      <c r="M238" s="36" t="str">
        <f>IF(A238&lt;0,'CAR PROMAX FILIAL CRUZ'!Q232," ")</f>
        <v xml:space="preserve"> </v>
      </c>
      <c r="N238" s="36" t="str">
        <f>IF(A238&lt;0,'CAR PROMAX FILIAL CRUZ'!R232," ")</f>
        <v xml:space="preserve"> </v>
      </c>
      <c r="O238" s="37" t="str">
        <f>IF(A238&lt;0,'CAR PROMAX FILIAL CRUZ'!S232," ")</f>
        <v xml:space="preserve"> </v>
      </c>
      <c r="P238" s="37" t="str">
        <f>IF(A238&lt;0,'CAR PROMAX FILIAL CRUZ'!T232," ")</f>
        <v xml:space="preserve"> </v>
      </c>
      <c r="Q238" s="37" t="str">
        <f>IF(A238&lt;0,'CAR PROMAX FILIAL CRUZ'!U232," ")</f>
        <v xml:space="preserve"> </v>
      </c>
      <c r="R238" s="34" t="str">
        <f>IF(A238&lt;0,'CAR PROMAX FILIAL CRUZ'!V232," ")</f>
        <v xml:space="preserve"> </v>
      </c>
    </row>
    <row r="239" spans="1:18" x14ac:dyDescent="0.25">
      <c r="A239">
        <f>'CAR PROMAX FILIAL CRUZ'!O233</f>
        <v>0</v>
      </c>
      <c r="B239" s="33" t="str">
        <f t="shared" si="9"/>
        <v xml:space="preserve"> </v>
      </c>
      <c r="C239" s="33" t="str">
        <f t="shared" si="8"/>
        <v xml:space="preserve"> </v>
      </c>
      <c r="D239" s="34" t="str">
        <f>IF(A239&lt;0,'CAR PROMAX FILIAL CRUZ'!B233," ")</f>
        <v xml:space="preserve"> </v>
      </c>
      <c r="E239" s="35" t="str">
        <f>IF(A239&lt;0,'CAR PROMAX FILIAL CRUZ'!C233," ")</f>
        <v xml:space="preserve"> </v>
      </c>
      <c r="F239" s="34" t="str">
        <f>IF(A239&lt;0,'CAR PROMAX FILIAL CRUZ'!D233," ")</f>
        <v xml:space="preserve"> </v>
      </c>
      <c r="G239" s="34" t="str">
        <f>IF(A239&lt;0,'CAR PROMAX FILIAL CRUZ'!E233," ")</f>
        <v xml:space="preserve"> </v>
      </c>
      <c r="H239" s="34" t="str">
        <f>IF(A239&lt;0,'CAR PROMAX FILIAL CRUZ'!J233," ")</f>
        <v xml:space="preserve"> </v>
      </c>
      <c r="I239" s="34"/>
      <c r="J239" s="34"/>
      <c r="K239" s="34" t="str">
        <f>IF(A239&lt;0,'CAR PROMAX FILIAL CRUZ'!O233," ")</f>
        <v xml:space="preserve"> </v>
      </c>
      <c r="L239" s="36" t="str">
        <f>IF(A239&lt;0,'CAR PROMAX FILIAL CRUZ'!P233," ")</f>
        <v xml:space="preserve"> </v>
      </c>
      <c r="M239" s="36" t="str">
        <f>IF(A239&lt;0,'CAR PROMAX FILIAL CRUZ'!Q233," ")</f>
        <v xml:space="preserve"> </v>
      </c>
      <c r="N239" s="36" t="str">
        <f>IF(A239&lt;0,'CAR PROMAX FILIAL CRUZ'!R233," ")</f>
        <v xml:space="preserve"> </v>
      </c>
      <c r="O239" s="37" t="str">
        <f>IF(A239&lt;0,'CAR PROMAX FILIAL CRUZ'!S233," ")</f>
        <v xml:space="preserve"> </v>
      </c>
      <c r="P239" s="37" t="str">
        <f>IF(A239&lt;0,'CAR PROMAX FILIAL CRUZ'!T233," ")</f>
        <v xml:space="preserve"> </v>
      </c>
      <c r="Q239" s="37" t="str">
        <f>IF(A239&lt;0,'CAR PROMAX FILIAL CRUZ'!U233," ")</f>
        <v xml:space="preserve"> </v>
      </c>
      <c r="R239" s="34" t="str">
        <f>IF(A239&lt;0,'CAR PROMAX FILIAL CRUZ'!V233," ")</f>
        <v xml:space="preserve"> </v>
      </c>
    </row>
    <row r="240" spans="1:18" x14ac:dyDescent="0.25">
      <c r="A240">
        <f>'CAR PROMAX FILIAL CRUZ'!O234</f>
        <v>0</v>
      </c>
      <c r="B240" s="33" t="str">
        <f t="shared" si="9"/>
        <v xml:space="preserve"> </v>
      </c>
      <c r="C240" s="33" t="str">
        <f t="shared" si="8"/>
        <v xml:space="preserve"> </v>
      </c>
      <c r="D240" s="34" t="str">
        <f>IF(A240&lt;0,'CAR PROMAX FILIAL CRUZ'!B234," ")</f>
        <v xml:space="preserve"> </v>
      </c>
      <c r="E240" s="35" t="str">
        <f>IF(A240&lt;0,'CAR PROMAX FILIAL CRUZ'!C234," ")</f>
        <v xml:space="preserve"> </v>
      </c>
      <c r="F240" s="34" t="str">
        <f>IF(A240&lt;0,'CAR PROMAX FILIAL CRUZ'!D234," ")</f>
        <v xml:space="preserve"> </v>
      </c>
      <c r="G240" s="34" t="str">
        <f>IF(A240&lt;0,'CAR PROMAX FILIAL CRUZ'!E234," ")</f>
        <v xml:space="preserve"> </v>
      </c>
      <c r="H240" s="34" t="str">
        <f>IF(A240&lt;0,'CAR PROMAX FILIAL CRUZ'!J234," ")</f>
        <v xml:space="preserve"> </v>
      </c>
      <c r="I240" s="34"/>
      <c r="J240" s="34"/>
      <c r="K240" s="34" t="str">
        <f>IF(A240&lt;0,'CAR PROMAX FILIAL CRUZ'!O234," ")</f>
        <v xml:space="preserve"> </v>
      </c>
      <c r="L240" s="36" t="str">
        <f>IF(A240&lt;0,'CAR PROMAX FILIAL CRUZ'!P234," ")</f>
        <v xml:space="preserve"> </v>
      </c>
      <c r="M240" s="36" t="str">
        <f>IF(A240&lt;0,'CAR PROMAX FILIAL CRUZ'!Q234," ")</f>
        <v xml:space="preserve"> </v>
      </c>
      <c r="N240" s="36" t="str">
        <f>IF(A240&lt;0,'CAR PROMAX FILIAL CRUZ'!R234," ")</f>
        <v xml:space="preserve"> </v>
      </c>
      <c r="O240" s="37" t="str">
        <f>IF(A240&lt;0,'CAR PROMAX FILIAL CRUZ'!S234," ")</f>
        <v xml:space="preserve"> </v>
      </c>
      <c r="P240" s="37" t="str">
        <f>IF(A240&lt;0,'CAR PROMAX FILIAL CRUZ'!T234," ")</f>
        <v xml:space="preserve"> </v>
      </c>
      <c r="Q240" s="37" t="str">
        <f>IF(A240&lt;0,'CAR PROMAX FILIAL CRUZ'!U234," ")</f>
        <v xml:space="preserve"> </v>
      </c>
      <c r="R240" s="34" t="str">
        <f>IF(A240&lt;0,'CAR PROMAX FILIAL CRUZ'!V234," ")</f>
        <v xml:space="preserve"> </v>
      </c>
    </row>
    <row r="241" spans="1:18" x14ac:dyDescent="0.25">
      <c r="A241">
        <f>'CAR PROMAX FILIAL CRUZ'!O235</f>
        <v>0</v>
      </c>
      <c r="B241" s="33" t="str">
        <f t="shared" si="9"/>
        <v xml:space="preserve"> </v>
      </c>
      <c r="C241" s="33" t="str">
        <f t="shared" si="8"/>
        <v xml:space="preserve"> </v>
      </c>
      <c r="D241" s="34" t="str">
        <f>IF(A241&lt;0,'CAR PROMAX FILIAL CRUZ'!B235," ")</f>
        <v xml:space="preserve"> </v>
      </c>
      <c r="E241" s="35" t="str">
        <f>IF(A241&lt;0,'CAR PROMAX FILIAL CRUZ'!C235," ")</f>
        <v xml:space="preserve"> </v>
      </c>
      <c r="F241" s="34" t="str">
        <f>IF(A241&lt;0,'CAR PROMAX FILIAL CRUZ'!D235," ")</f>
        <v xml:space="preserve"> </v>
      </c>
      <c r="G241" s="34" t="str">
        <f>IF(A241&lt;0,'CAR PROMAX FILIAL CRUZ'!E235," ")</f>
        <v xml:space="preserve"> </v>
      </c>
      <c r="H241" s="34" t="str">
        <f>IF(A241&lt;0,'CAR PROMAX FILIAL CRUZ'!J235," ")</f>
        <v xml:space="preserve"> </v>
      </c>
      <c r="I241" s="34"/>
      <c r="J241" s="34"/>
      <c r="K241" s="34" t="str">
        <f>IF(A241&lt;0,'CAR PROMAX FILIAL CRUZ'!O235," ")</f>
        <v xml:space="preserve"> </v>
      </c>
      <c r="L241" s="36" t="str">
        <f>IF(A241&lt;0,'CAR PROMAX FILIAL CRUZ'!P235," ")</f>
        <v xml:space="preserve"> </v>
      </c>
      <c r="M241" s="36" t="str">
        <f>IF(A241&lt;0,'CAR PROMAX FILIAL CRUZ'!Q235," ")</f>
        <v xml:space="preserve"> </v>
      </c>
      <c r="N241" s="36" t="str">
        <f>IF(A241&lt;0,'CAR PROMAX FILIAL CRUZ'!R235," ")</f>
        <v xml:space="preserve"> </v>
      </c>
      <c r="O241" s="37" t="str">
        <f>IF(A241&lt;0,'CAR PROMAX FILIAL CRUZ'!S235," ")</f>
        <v xml:space="preserve"> </v>
      </c>
      <c r="P241" s="37" t="str">
        <f>IF(A241&lt;0,'CAR PROMAX FILIAL CRUZ'!T235," ")</f>
        <v xml:space="preserve"> </v>
      </c>
      <c r="Q241" s="37" t="str">
        <f>IF(A241&lt;0,'CAR PROMAX FILIAL CRUZ'!U235," ")</f>
        <v xml:space="preserve"> </v>
      </c>
      <c r="R241" s="34" t="str">
        <f>IF(A241&lt;0,'CAR PROMAX FILIAL CRUZ'!V235," ")</f>
        <v xml:space="preserve"> </v>
      </c>
    </row>
    <row r="242" spans="1:18" x14ac:dyDescent="0.25">
      <c r="A242">
        <f>'CAR PROMAX FILIAL CRUZ'!O236</f>
        <v>0</v>
      </c>
      <c r="B242" s="33" t="str">
        <f t="shared" si="9"/>
        <v xml:space="preserve"> </v>
      </c>
      <c r="C242" s="33" t="str">
        <f t="shared" si="8"/>
        <v xml:space="preserve"> </v>
      </c>
      <c r="D242" s="34" t="str">
        <f>IF(A242&lt;0,'CAR PROMAX FILIAL CRUZ'!B236," ")</f>
        <v xml:space="preserve"> </v>
      </c>
      <c r="E242" s="35" t="str">
        <f>IF(A242&lt;0,'CAR PROMAX FILIAL CRUZ'!C236," ")</f>
        <v xml:space="preserve"> </v>
      </c>
      <c r="F242" s="34" t="str">
        <f>IF(A242&lt;0,'CAR PROMAX FILIAL CRUZ'!D236," ")</f>
        <v xml:space="preserve"> </v>
      </c>
      <c r="G242" s="34" t="str">
        <f>IF(A242&lt;0,'CAR PROMAX FILIAL CRUZ'!E236," ")</f>
        <v xml:space="preserve"> </v>
      </c>
      <c r="H242" s="34" t="str">
        <f>IF(A242&lt;0,'CAR PROMAX FILIAL CRUZ'!J236," ")</f>
        <v xml:space="preserve"> </v>
      </c>
      <c r="I242" s="34"/>
      <c r="J242" s="34"/>
      <c r="K242" s="34" t="str">
        <f>IF(A242&lt;0,'CAR PROMAX FILIAL CRUZ'!O236," ")</f>
        <v xml:space="preserve"> </v>
      </c>
      <c r="L242" s="36" t="str">
        <f>IF(A242&lt;0,'CAR PROMAX FILIAL CRUZ'!P236," ")</f>
        <v xml:space="preserve"> </v>
      </c>
      <c r="M242" s="36" t="str">
        <f>IF(A242&lt;0,'CAR PROMAX FILIAL CRUZ'!Q236," ")</f>
        <v xml:space="preserve"> </v>
      </c>
      <c r="N242" s="36" t="str">
        <f>IF(A242&lt;0,'CAR PROMAX FILIAL CRUZ'!R236," ")</f>
        <v xml:space="preserve"> </v>
      </c>
      <c r="O242" s="37" t="str">
        <f>IF(A242&lt;0,'CAR PROMAX FILIAL CRUZ'!S236," ")</f>
        <v xml:space="preserve"> </v>
      </c>
      <c r="P242" s="37" t="str">
        <f>IF(A242&lt;0,'CAR PROMAX FILIAL CRUZ'!T236," ")</f>
        <v xml:space="preserve"> </v>
      </c>
      <c r="Q242" s="37" t="str">
        <f>IF(A242&lt;0,'CAR PROMAX FILIAL CRUZ'!U236," ")</f>
        <v xml:space="preserve"> </v>
      </c>
      <c r="R242" s="34" t="str">
        <f>IF(A242&lt;0,'CAR PROMAX FILIAL CRUZ'!V236," ")</f>
        <v xml:space="preserve"> </v>
      </c>
    </row>
    <row r="243" spans="1:18" x14ac:dyDescent="0.25">
      <c r="A243">
        <f>'CAR PROMAX FILIAL CRUZ'!O237</f>
        <v>0</v>
      </c>
      <c r="B243" s="33" t="str">
        <f t="shared" si="9"/>
        <v xml:space="preserve"> </v>
      </c>
      <c r="C243" s="33" t="str">
        <f t="shared" si="8"/>
        <v xml:space="preserve"> </v>
      </c>
      <c r="D243" s="34" t="str">
        <f>IF(A243&lt;0,'CAR PROMAX FILIAL CRUZ'!B237," ")</f>
        <v xml:space="preserve"> </v>
      </c>
      <c r="E243" s="35" t="str">
        <f>IF(A243&lt;0,'CAR PROMAX FILIAL CRUZ'!C237," ")</f>
        <v xml:space="preserve"> </v>
      </c>
      <c r="F243" s="34" t="str">
        <f>IF(A243&lt;0,'CAR PROMAX FILIAL CRUZ'!D237," ")</f>
        <v xml:space="preserve"> </v>
      </c>
      <c r="G243" s="34" t="str">
        <f>IF(A243&lt;0,'CAR PROMAX FILIAL CRUZ'!E237," ")</f>
        <v xml:space="preserve"> </v>
      </c>
      <c r="H243" s="34" t="str">
        <f>IF(A243&lt;0,'CAR PROMAX FILIAL CRUZ'!J237," ")</f>
        <v xml:space="preserve"> </v>
      </c>
      <c r="I243" s="34"/>
      <c r="J243" s="34"/>
      <c r="K243" s="34" t="str">
        <f>IF(A243&lt;0,'CAR PROMAX FILIAL CRUZ'!O237," ")</f>
        <v xml:space="preserve"> </v>
      </c>
      <c r="L243" s="36" t="str">
        <f>IF(A243&lt;0,'CAR PROMAX FILIAL CRUZ'!P237," ")</f>
        <v xml:space="preserve"> </v>
      </c>
      <c r="M243" s="36" t="str">
        <f>IF(A243&lt;0,'CAR PROMAX FILIAL CRUZ'!Q237," ")</f>
        <v xml:space="preserve"> </v>
      </c>
      <c r="N243" s="36" t="str">
        <f>IF(A243&lt;0,'CAR PROMAX FILIAL CRUZ'!R237," ")</f>
        <v xml:space="preserve"> </v>
      </c>
      <c r="O243" s="37" t="str">
        <f>IF(A243&lt;0,'CAR PROMAX FILIAL CRUZ'!S237," ")</f>
        <v xml:space="preserve"> </v>
      </c>
      <c r="P243" s="37" t="str">
        <f>IF(A243&lt;0,'CAR PROMAX FILIAL CRUZ'!T237," ")</f>
        <v xml:space="preserve"> </v>
      </c>
      <c r="Q243" s="37" t="str">
        <f>IF(A243&lt;0,'CAR PROMAX FILIAL CRUZ'!U237," ")</f>
        <v xml:space="preserve"> </v>
      </c>
      <c r="R243" s="34" t="str">
        <f>IF(A243&lt;0,'CAR PROMAX FILIAL CRUZ'!V237," ")</f>
        <v xml:space="preserve"> </v>
      </c>
    </row>
    <row r="244" spans="1:18" x14ac:dyDescent="0.25">
      <c r="A244">
        <f>'CAR PROMAX FILIAL CRUZ'!O238</f>
        <v>0</v>
      </c>
      <c r="B244" s="33" t="str">
        <f t="shared" si="9"/>
        <v xml:space="preserve"> </v>
      </c>
      <c r="C244" s="33" t="str">
        <f t="shared" si="8"/>
        <v xml:space="preserve"> </v>
      </c>
      <c r="D244" s="34" t="str">
        <f>IF(A244&lt;0,'CAR PROMAX FILIAL CRUZ'!B238," ")</f>
        <v xml:space="preserve"> </v>
      </c>
      <c r="E244" s="35" t="str">
        <f>IF(A244&lt;0,'CAR PROMAX FILIAL CRUZ'!C238," ")</f>
        <v xml:space="preserve"> </v>
      </c>
      <c r="F244" s="34" t="str">
        <f>IF(A244&lt;0,'CAR PROMAX FILIAL CRUZ'!D238," ")</f>
        <v xml:space="preserve"> </v>
      </c>
      <c r="G244" s="34" t="str">
        <f>IF(A244&lt;0,'CAR PROMAX FILIAL CRUZ'!E238," ")</f>
        <v xml:space="preserve"> </v>
      </c>
      <c r="H244" s="34" t="str">
        <f>IF(A244&lt;0,'CAR PROMAX FILIAL CRUZ'!J238," ")</f>
        <v xml:space="preserve"> </v>
      </c>
      <c r="I244" s="34"/>
      <c r="J244" s="34"/>
      <c r="K244" s="34" t="str">
        <f>IF(A244&lt;0,'CAR PROMAX FILIAL CRUZ'!O238," ")</f>
        <v xml:space="preserve"> </v>
      </c>
      <c r="L244" s="36" t="str">
        <f>IF(A244&lt;0,'CAR PROMAX FILIAL CRUZ'!P238," ")</f>
        <v xml:space="preserve"> </v>
      </c>
      <c r="M244" s="36" t="str">
        <f>IF(A244&lt;0,'CAR PROMAX FILIAL CRUZ'!Q238," ")</f>
        <v xml:space="preserve"> </v>
      </c>
      <c r="N244" s="36" t="str">
        <f>IF(A244&lt;0,'CAR PROMAX FILIAL CRUZ'!R238," ")</f>
        <v xml:space="preserve"> </v>
      </c>
      <c r="O244" s="37" t="str">
        <f>IF(A244&lt;0,'CAR PROMAX FILIAL CRUZ'!S238," ")</f>
        <v xml:space="preserve"> </v>
      </c>
      <c r="P244" s="37" t="str">
        <f>IF(A244&lt;0,'CAR PROMAX FILIAL CRUZ'!T238," ")</f>
        <v xml:space="preserve"> </v>
      </c>
      <c r="Q244" s="37" t="str">
        <f>IF(A244&lt;0,'CAR PROMAX FILIAL CRUZ'!U238," ")</f>
        <v xml:space="preserve"> </v>
      </c>
      <c r="R244" s="34" t="str">
        <f>IF(A244&lt;0,'CAR PROMAX FILIAL CRUZ'!V238," ")</f>
        <v xml:space="preserve"> </v>
      </c>
    </row>
    <row r="245" spans="1:18" x14ac:dyDescent="0.25">
      <c r="A245">
        <f>'CAR PROMAX FILIAL CRUZ'!O239</f>
        <v>0</v>
      </c>
      <c r="B245" s="33" t="str">
        <f t="shared" si="9"/>
        <v xml:space="preserve"> </v>
      </c>
      <c r="C245" s="33" t="str">
        <f t="shared" si="8"/>
        <v xml:space="preserve"> </v>
      </c>
      <c r="D245" s="34" t="str">
        <f>IF(A245&lt;0,'CAR PROMAX FILIAL CRUZ'!B239," ")</f>
        <v xml:space="preserve"> </v>
      </c>
      <c r="E245" s="35" t="str">
        <f>IF(A245&lt;0,'CAR PROMAX FILIAL CRUZ'!C239," ")</f>
        <v xml:space="preserve"> </v>
      </c>
      <c r="F245" s="34" t="str">
        <f>IF(A245&lt;0,'CAR PROMAX FILIAL CRUZ'!D239," ")</f>
        <v xml:space="preserve"> </v>
      </c>
      <c r="G245" s="34" t="str">
        <f>IF(A245&lt;0,'CAR PROMAX FILIAL CRUZ'!E239," ")</f>
        <v xml:space="preserve"> </v>
      </c>
      <c r="H245" s="34" t="str">
        <f>IF(A245&lt;0,'CAR PROMAX FILIAL CRUZ'!J239," ")</f>
        <v xml:space="preserve"> </v>
      </c>
      <c r="I245" s="34"/>
      <c r="J245" s="34"/>
      <c r="K245" s="34" t="str">
        <f>IF(A245&lt;0,'CAR PROMAX FILIAL CRUZ'!O239," ")</f>
        <v xml:space="preserve"> </v>
      </c>
      <c r="L245" s="36" t="str">
        <f>IF(A245&lt;0,'CAR PROMAX FILIAL CRUZ'!P239," ")</f>
        <v xml:space="preserve"> </v>
      </c>
      <c r="M245" s="36" t="str">
        <f>IF(A245&lt;0,'CAR PROMAX FILIAL CRUZ'!Q239," ")</f>
        <v xml:space="preserve"> </v>
      </c>
      <c r="N245" s="36" t="str">
        <f>IF(A245&lt;0,'CAR PROMAX FILIAL CRUZ'!R239," ")</f>
        <v xml:space="preserve"> </v>
      </c>
      <c r="O245" s="37" t="str">
        <f>IF(A245&lt;0,'CAR PROMAX FILIAL CRUZ'!S239," ")</f>
        <v xml:space="preserve"> </v>
      </c>
      <c r="P245" s="37" t="str">
        <f>IF(A245&lt;0,'CAR PROMAX FILIAL CRUZ'!T239," ")</f>
        <v xml:space="preserve"> </v>
      </c>
      <c r="Q245" s="37" t="str">
        <f>IF(A245&lt;0,'CAR PROMAX FILIAL CRUZ'!U239," ")</f>
        <v xml:space="preserve"> </v>
      </c>
      <c r="R245" s="34" t="str">
        <f>IF(A245&lt;0,'CAR PROMAX FILIAL CRUZ'!V239," ")</f>
        <v xml:space="preserve"> </v>
      </c>
    </row>
    <row r="246" spans="1:18" x14ac:dyDescent="0.25">
      <c r="A246">
        <f>'CAR PROMAX FILIAL CRUZ'!O240</f>
        <v>0</v>
      </c>
      <c r="B246" s="33" t="str">
        <f t="shared" si="9"/>
        <v xml:space="preserve"> </v>
      </c>
      <c r="C246" s="33" t="str">
        <f t="shared" si="8"/>
        <v xml:space="preserve"> </v>
      </c>
      <c r="D246" s="34" t="str">
        <f>IF(A246&lt;0,'CAR PROMAX FILIAL CRUZ'!B240," ")</f>
        <v xml:space="preserve"> </v>
      </c>
      <c r="E246" s="35" t="str">
        <f>IF(A246&lt;0,'CAR PROMAX FILIAL CRUZ'!C240," ")</f>
        <v xml:space="preserve"> </v>
      </c>
      <c r="F246" s="34" t="str">
        <f>IF(A246&lt;0,'CAR PROMAX FILIAL CRUZ'!D240," ")</f>
        <v xml:space="preserve"> </v>
      </c>
      <c r="G246" s="34" t="str">
        <f>IF(A246&lt;0,'CAR PROMAX FILIAL CRUZ'!E240," ")</f>
        <v xml:space="preserve"> </v>
      </c>
      <c r="H246" s="34" t="str">
        <f>IF(A246&lt;0,'CAR PROMAX FILIAL CRUZ'!J240," ")</f>
        <v xml:space="preserve"> </v>
      </c>
      <c r="I246" s="34"/>
      <c r="J246" s="34"/>
      <c r="K246" s="34" t="str">
        <f>IF(A246&lt;0,'CAR PROMAX FILIAL CRUZ'!O240," ")</f>
        <v xml:space="preserve"> </v>
      </c>
      <c r="L246" s="36" t="str">
        <f>IF(A246&lt;0,'CAR PROMAX FILIAL CRUZ'!P240," ")</f>
        <v xml:space="preserve"> </v>
      </c>
      <c r="M246" s="36" t="str">
        <f>IF(A246&lt;0,'CAR PROMAX FILIAL CRUZ'!Q240," ")</f>
        <v xml:space="preserve"> </v>
      </c>
      <c r="N246" s="36" t="str">
        <f>IF(A246&lt;0,'CAR PROMAX FILIAL CRUZ'!R240," ")</f>
        <v xml:space="preserve"> </v>
      </c>
      <c r="O246" s="37" t="str">
        <f>IF(A246&lt;0,'CAR PROMAX FILIAL CRUZ'!S240," ")</f>
        <v xml:space="preserve"> </v>
      </c>
      <c r="P246" s="37" t="str">
        <f>IF(A246&lt;0,'CAR PROMAX FILIAL CRUZ'!T240," ")</f>
        <v xml:space="preserve"> </v>
      </c>
      <c r="Q246" s="37" t="str">
        <f>IF(A246&lt;0,'CAR PROMAX FILIAL CRUZ'!U240," ")</f>
        <v xml:space="preserve"> </v>
      </c>
      <c r="R246" s="34" t="str">
        <f>IF(A246&lt;0,'CAR PROMAX FILIAL CRUZ'!V240," ")</f>
        <v xml:space="preserve"> </v>
      </c>
    </row>
    <row r="247" spans="1:18" x14ac:dyDescent="0.25">
      <c r="A247">
        <f>'CAR PROMAX FILIAL CRUZ'!O241</f>
        <v>0</v>
      </c>
      <c r="B247" s="33" t="str">
        <f t="shared" si="9"/>
        <v xml:space="preserve"> </v>
      </c>
      <c r="C247" s="33" t="str">
        <f t="shared" si="8"/>
        <v xml:space="preserve"> </v>
      </c>
      <c r="D247" s="34" t="str">
        <f>IF(A247&lt;0,'CAR PROMAX FILIAL CRUZ'!B241," ")</f>
        <v xml:space="preserve"> </v>
      </c>
      <c r="E247" s="35" t="str">
        <f>IF(A247&lt;0,'CAR PROMAX FILIAL CRUZ'!C241," ")</f>
        <v xml:space="preserve"> </v>
      </c>
      <c r="F247" s="34" t="str">
        <f>IF(A247&lt;0,'CAR PROMAX FILIAL CRUZ'!D241," ")</f>
        <v xml:space="preserve"> </v>
      </c>
      <c r="G247" s="34" t="str">
        <f>IF(A247&lt;0,'CAR PROMAX FILIAL CRUZ'!E241," ")</f>
        <v xml:space="preserve"> </v>
      </c>
      <c r="H247" s="34" t="str">
        <f>IF(A247&lt;0,'CAR PROMAX FILIAL CRUZ'!J241," ")</f>
        <v xml:space="preserve"> </v>
      </c>
      <c r="I247" s="34"/>
      <c r="J247" s="34"/>
      <c r="K247" s="34" t="str">
        <f>IF(A247&lt;0,'CAR PROMAX FILIAL CRUZ'!O241," ")</f>
        <v xml:space="preserve"> </v>
      </c>
      <c r="L247" s="36" t="str">
        <f>IF(A247&lt;0,'CAR PROMAX FILIAL CRUZ'!P241," ")</f>
        <v xml:space="preserve"> </v>
      </c>
      <c r="M247" s="36" t="str">
        <f>IF(A247&lt;0,'CAR PROMAX FILIAL CRUZ'!Q241," ")</f>
        <v xml:space="preserve"> </v>
      </c>
      <c r="N247" s="36" t="str">
        <f>IF(A247&lt;0,'CAR PROMAX FILIAL CRUZ'!R241," ")</f>
        <v xml:space="preserve"> </v>
      </c>
      <c r="O247" s="37" t="str">
        <f>IF(A247&lt;0,'CAR PROMAX FILIAL CRUZ'!S241," ")</f>
        <v xml:space="preserve"> </v>
      </c>
      <c r="P247" s="37" t="str">
        <f>IF(A247&lt;0,'CAR PROMAX FILIAL CRUZ'!T241," ")</f>
        <v xml:space="preserve"> </v>
      </c>
      <c r="Q247" s="37" t="str">
        <f>IF(A247&lt;0,'CAR PROMAX FILIAL CRUZ'!U241," ")</f>
        <v xml:space="preserve"> </v>
      </c>
      <c r="R247" s="34" t="str">
        <f>IF(A247&lt;0,'CAR PROMAX FILIAL CRUZ'!V241," ")</f>
        <v xml:space="preserve"> </v>
      </c>
    </row>
    <row r="248" spans="1:18" x14ac:dyDescent="0.25">
      <c r="A248">
        <f>'CAR PROMAX FILIAL CRUZ'!O242</f>
        <v>0</v>
      </c>
      <c r="B248" s="33" t="str">
        <f t="shared" si="9"/>
        <v xml:space="preserve"> </v>
      </c>
      <c r="C248" s="33" t="str">
        <f t="shared" si="8"/>
        <v xml:space="preserve"> </v>
      </c>
      <c r="D248" s="34" t="str">
        <f>IF(A248&lt;0,'CAR PROMAX FILIAL CRUZ'!B242," ")</f>
        <v xml:space="preserve"> </v>
      </c>
      <c r="E248" s="35" t="str">
        <f>IF(A248&lt;0,'CAR PROMAX FILIAL CRUZ'!C242," ")</f>
        <v xml:space="preserve"> </v>
      </c>
      <c r="F248" s="34" t="str">
        <f>IF(A248&lt;0,'CAR PROMAX FILIAL CRUZ'!D242," ")</f>
        <v xml:space="preserve"> </v>
      </c>
      <c r="G248" s="34" t="str">
        <f>IF(A248&lt;0,'CAR PROMAX FILIAL CRUZ'!E242," ")</f>
        <v xml:space="preserve"> </v>
      </c>
      <c r="H248" s="34" t="str">
        <f>IF(A248&lt;0,'CAR PROMAX FILIAL CRUZ'!J242," ")</f>
        <v xml:space="preserve"> </v>
      </c>
      <c r="I248" s="34"/>
      <c r="J248" s="34"/>
      <c r="K248" s="34" t="str">
        <f>IF(A248&lt;0,'CAR PROMAX FILIAL CRUZ'!O242," ")</f>
        <v xml:space="preserve"> </v>
      </c>
      <c r="L248" s="36" t="str">
        <f>IF(A248&lt;0,'CAR PROMAX FILIAL CRUZ'!P242," ")</f>
        <v xml:space="preserve"> </v>
      </c>
      <c r="M248" s="36" t="str">
        <f>IF(A248&lt;0,'CAR PROMAX FILIAL CRUZ'!Q242," ")</f>
        <v xml:space="preserve"> </v>
      </c>
      <c r="N248" s="36" t="str">
        <f>IF(A248&lt;0,'CAR PROMAX FILIAL CRUZ'!R242," ")</f>
        <v xml:space="preserve"> </v>
      </c>
      <c r="O248" s="37" t="str">
        <f>IF(A248&lt;0,'CAR PROMAX FILIAL CRUZ'!S242," ")</f>
        <v xml:space="preserve"> </v>
      </c>
      <c r="P248" s="37" t="str">
        <f>IF(A248&lt;0,'CAR PROMAX FILIAL CRUZ'!T242," ")</f>
        <v xml:space="preserve"> </v>
      </c>
      <c r="Q248" s="37" t="str">
        <f>IF(A248&lt;0,'CAR PROMAX FILIAL CRUZ'!U242," ")</f>
        <v xml:space="preserve"> </v>
      </c>
      <c r="R248" s="34" t="str">
        <f>IF(A248&lt;0,'CAR PROMAX FILIAL CRUZ'!V242," ")</f>
        <v xml:space="preserve"> </v>
      </c>
    </row>
    <row r="249" spans="1:18" x14ac:dyDescent="0.25">
      <c r="A249">
        <f>'CAR PROMAX FILIAL CRUZ'!O243</f>
        <v>0</v>
      </c>
      <c r="B249" s="33" t="str">
        <f t="shared" si="9"/>
        <v xml:space="preserve"> </v>
      </c>
      <c r="C249" s="33" t="str">
        <f t="shared" si="8"/>
        <v xml:space="preserve"> </v>
      </c>
      <c r="D249" s="34" t="str">
        <f>IF(A249&lt;0,'CAR PROMAX FILIAL CRUZ'!B243," ")</f>
        <v xml:space="preserve"> </v>
      </c>
      <c r="E249" s="35" t="str">
        <f>IF(A249&lt;0,'CAR PROMAX FILIAL CRUZ'!C243," ")</f>
        <v xml:space="preserve"> </v>
      </c>
      <c r="F249" s="34" t="str">
        <f>IF(A249&lt;0,'CAR PROMAX FILIAL CRUZ'!D243," ")</f>
        <v xml:space="preserve"> </v>
      </c>
      <c r="G249" s="34" t="str">
        <f>IF(A249&lt;0,'CAR PROMAX FILIAL CRUZ'!E243," ")</f>
        <v xml:space="preserve"> </v>
      </c>
      <c r="H249" s="34" t="str">
        <f>IF(A249&lt;0,'CAR PROMAX FILIAL CRUZ'!J243," ")</f>
        <v xml:space="preserve"> </v>
      </c>
      <c r="I249" s="34"/>
      <c r="J249" s="34"/>
      <c r="K249" s="34" t="str">
        <f>IF(A249&lt;0,'CAR PROMAX FILIAL CRUZ'!O243," ")</f>
        <v xml:space="preserve"> </v>
      </c>
      <c r="L249" s="36" t="str">
        <f>IF(A249&lt;0,'CAR PROMAX FILIAL CRUZ'!P243," ")</f>
        <v xml:space="preserve"> </v>
      </c>
      <c r="M249" s="36" t="str">
        <f>IF(A249&lt;0,'CAR PROMAX FILIAL CRUZ'!Q243," ")</f>
        <v xml:space="preserve"> </v>
      </c>
      <c r="N249" s="36" t="str">
        <f>IF(A249&lt;0,'CAR PROMAX FILIAL CRUZ'!R243," ")</f>
        <v xml:space="preserve"> </v>
      </c>
      <c r="O249" s="37" t="str">
        <f>IF(A249&lt;0,'CAR PROMAX FILIAL CRUZ'!S243," ")</f>
        <v xml:space="preserve"> </v>
      </c>
      <c r="P249" s="37" t="str">
        <f>IF(A249&lt;0,'CAR PROMAX FILIAL CRUZ'!T243," ")</f>
        <v xml:space="preserve"> </v>
      </c>
      <c r="Q249" s="37" t="str">
        <f>IF(A249&lt;0,'CAR PROMAX FILIAL CRUZ'!U243," ")</f>
        <v xml:space="preserve"> </v>
      </c>
      <c r="R249" s="34" t="str">
        <f>IF(A249&lt;0,'CAR PROMAX FILIAL CRUZ'!V243," ")</f>
        <v xml:space="preserve"> </v>
      </c>
    </row>
    <row r="250" spans="1:18" x14ac:dyDescent="0.25">
      <c r="A250">
        <f>'CAR PROMAX FILIAL CRUZ'!O244</f>
        <v>0</v>
      </c>
      <c r="B250" s="33" t="str">
        <f t="shared" si="9"/>
        <v xml:space="preserve"> </v>
      </c>
      <c r="C250" s="33" t="str">
        <f t="shared" si="8"/>
        <v xml:space="preserve"> </v>
      </c>
      <c r="D250" s="34" t="str">
        <f>IF(A250&lt;0,'CAR PROMAX FILIAL CRUZ'!B244," ")</f>
        <v xml:space="preserve"> </v>
      </c>
      <c r="E250" s="35" t="str">
        <f>IF(A250&lt;0,'CAR PROMAX FILIAL CRUZ'!C244," ")</f>
        <v xml:space="preserve"> </v>
      </c>
      <c r="F250" s="34" t="str">
        <f>IF(A250&lt;0,'CAR PROMAX FILIAL CRUZ'!D244," ")</f>
        <v xml:space="preserve"> </v>
      </c>
      <c r="G250" s="34" t="str">
        <f>IF(A250&lt;0,'CAR PROMAX FILIAL CRUZ'!E244," ")</f>
        <v xml:space="preserve"> </v>
      </c>
      <c r="H250" s="34" t="str">
        <f>IF(A250&lt;0,'CAR PROMAX FILIAL CRUZ'!J244," ")</f>
        <v xml:space="preserve"> </v>
      </c>
      <c r="I250" s="34"/>
      <c r="J250" s="34"/>
      <c r="K250" s="34" t="str">
        <f>IF(A250&lt;0,'CAR PROMAX FILIAL CRUZ'!O244," ")</f>
        <v xml:space="preserve"> </v>
      </c>
      <c r="L250" s="36" t="str">
        <f>IF(A250&lt;0,'CAR PROMAX FILIAL CRUZ'!P244," ")</f>
        <v xml:space="preserve"> </v>
      </c>
      <c r="M250" s="36" t="str">
        <f>IF(A250&lt;0,'CAR PROMAX FILIAL CRUZ'!Q244," ")</f>
        <v xml:space="preserve"> </v>
      </c>
      <c r="N250" s="36" t="str">
        <f>IF(A250&lt;0,'CAR PROMAX FILIAL CRUZ'!R244," ")</f>
        <v xml:space="preserve"> </v>
      </c>
      <c r="O250" s="37" t="str">
        <f>IF(A250&lt;0,'CAR PROMAX FILIAL CRUZ'!S244," ")</f>
        <v xml:space="preserve"> </v>
      </c>
      <c r="P250" s="37" t="str">
        <f>IF(A250&lt;0,'CAR PROMAX FILIAL CRUZ'!T244," ")</f>
        <v xml:space="preserve"> </v>
      </c>
      <c r="Q250" s="37" t="str">
        <f>IF(A250&lt;0,'CAR PROMAX FILIAL CRUZ'!U244," ")</f>
        <v xml:space="preserve"> </v>
      </c>
      <c r="R250" s="34" t="str">
        <f>IF(A250&lt;0,'CAR PROMAX FILIAL CRUZ'!V244," ")</f>
        <v xml:space="preserve"> </v>
      </c>
    </row>
    <row r="251" spans="1:18" x14ac:dyDescent="0.25">
      <c r="A251">
        <f>'CAR PROMAX FILIAL CRUZ'!O245</f>
        <v>0</v>
      </c>
      <c r="B251" s="33" t="str">
        <f t="shared" si="9"/>
        <v xml:space="preserve"> </v>
      </c>
      <c r="C251" s="33" t="str">
        <f t="shared" si="8"/>
        <v xml:space="preserve"> </v>
      </c>
      <c r="D251" s="34" t="str">
        <f>IF(A251&lt;0,'CAR PROMAX FILIAL CRUZ'!B245," ")</f>
        <v xml:space="preserve"> </v>
      </c>
      <c r="E251" s="35" t="str">
        <f>IF(A251&lt;0,'CAR PROMAX FILIAL CRUZ'!C245," ")</f>
        <v xml:space="preserve"> </v>
      </c>
      <c r="F251" s="34" t="str">
        <f>IF(A251&lt;0,'CAR PROMAX FILIAL CRUZ'!D245," ")</f>
        <v xml:space="preserve"> </v>
      </c>
      <c r="G251" s="34" t="str">
        <f>IF(A251&lt;0,'CAR PROMAX FILIAL CRUZ'!E245," ")</f>
        <v xml:space="preserve"> </v>
      </c>
      <c r="H251" s="34" t="str">
        <f>IF(A251&lt;0,'CAR PROMAX FILIAL CRUZ'!J245," ")</f>
        <v xml:space="preserve"> </v>
      </c>
      <c r="I251" s="34"/>
      <c r="J251" s="34"/>
      <c r="K251" s="34" t="str">
        <f>IF(A251&lt;0,'CAR PROMAX FILIAL CRUZ'!O245," ")</f>
        <v xml:space="preserve"> </v>
      </c>
      <c r="L251" s="36" t="str">
        <f>IF(A251&lt;0,'CAR PROMAX FILIAL CRUZ'!P245," ")</f>
        <v xml:space="preserve"> </v>
      </c>
      <c r="M251" s="36" t="str">
        <f>IF(A251&lt;0,'CAR PROMAX FILIAL CRUZ'!Q245," ")</f>
        <v xml:space="preserve"> </v>
      </c>
      <c r="N251" s="36" t="str">
        <f>IF(A251&lt;0,'CAR PROMAX FILIAL CRUZ'!R245," ")</f>
        <v xml:space="preserve"> </v>
      </c>
      <c r="O251" s="37" t="str">
        <f>IF(A251&lt;0,'CAR PROMAX FILIAL CRUZ'!S245," ")</f>
        <v xml:space="preserve"> </v>
      </c>
      <c r="P251" s="37" t="str">
        <f>IF(A251&lt;0,'CAR PROMAX FILIAL CRUZ'!T245," ")</f>
        <v xml:space="preserve"> </v>
      </c>
      <c r="Q251" s="37" t="str">
        <f>IF(A251&lt;0,'CAR PROMAX FILIAL CRUZ'!U245," ")</f>
        <v xml:space="preserve"> </v>
      </c>
      <c r="R251" s="34" t="str">
        <f>IF(A251&lt;0,'CAR PROMAX FILIAL CRUZ'!V245," ")</f>
        <v xml:space="preserve"> </v>
      </c>
    </row>
    <row r="252" spans="1:18" x14ac:dyDescent="0.25">
      <c r="A252">
        <f>'CAR PROMAX FILIAL CRUZ'!O246</f>
        <v>0</v>
      </c>
      <c r="B252" s="33" t="str">
        <f t="shared" si="9"/>
        <v xml:space="preserve"> </v>
      </c>
      <c r="C252" s="33" t="str">
        <f t="shared" si="8"/>
        <v xml:space="preserve"> </v>
      </c>
      <c r="D252" s="34" t="str">
        <f>IF(A252&lt;0,'CAR PROMAX FILIAL CRUZ'!B246," ")</f>
        <v xml:space="preserve"> </v>
      </c>
      <c r="E252" s="35" t="str">
        <f>IF(A252&lt;0,'CAR PROMAX FILIAL CRUZ'!C246," ")</f>
        <v xml:space="preserve"> </v>
      </c>
      <c r="F252" s="34" t="str">
        <f>IF(A252&lt;0,'CAR PROMAX FILIAL CRUZ'!D246," ")</f>
        <v xml:space="preserve"> </v>
      </c>
      <c r="G252" s="34" t="str">
        <f>IF(A252&lt;0,'CAR PROMAX FILIAL CRUZ'!E246," ")</f>
        <v xml:space="preserve"> </v>
      </c>
      <c r="H252" s="34" t="str">
        <f>IF(A252&lt;0,'CAR PROMAX FILIAL CRUZ'!J246," ")</f>
        <v xml:space="preserve"> </v>
      </c>
      <c r="I252" s="34"/>
      <c r="J252" s="34"/>
      <c r="K252" s="34" t="str">
        <f>IF(A252&lt;0,'CAR PROMAX FILIAL CRUZ'!O246," ")</f>
        <v xml:space="preserve"> </v>
      </c>
      <c r="L252" s="36" t="str">
        <f>IF(A252&lt;0,'CAR PROMAX FILIAL CRUZ'!P246," ")</f>
        <v xml:space="preserve"> </v>
      </c>
      <c r="M252" s="36" t="str">
        <f>IF(A252&lt;0,'CAR PROMAX FILIAL CRUZ'!Q246," ")</f>
        <v xml:space="preserve"> </v>
      </c>
      <c r="N252" s="36" t="str">
        <f>IF(A252&lt;0,'CAR PROMAX FILIAL CRUZ'!R246," ")</f>
        <v xml:space="preserve"> </v>
      </c>
      <c r="O252" s="37" t="str">
        <f>IF(A252&lt;0,'CAR PROMAX FILIAL CRUZ'!S246," ")</f>
        <v xml:space="preserve"> </v>
      </c>
      <c r="P252" s="37" t="str">
        <f>IF(A252&lt;0,'CAR PROMAX FILIAL CRUZ'!T246," ")</f>
        <v xml:space="preserve"> </v>
      </c>
      <c r="Q252" s="37" t="str">
        <f>IF(A252&lt;0,'CAR PROMAX FILIAL CRUZ'!U246," ")</f>
        <v xml:space="preserve"> </v>
      </c>
      <c r="R252" s="34" t="str">
        <f>IF(A252&lt;0,'CAR PROMAX FILIAL CRUZ'!V246," ")</f>
        <v xml:space="preserve"> </v>
      </c>
    </row>
    <row r="253" spans="1:18" x14ac:dyDescent="0.25">
      <c r="A253">
        <f>'CAR PROMAX FILIAL CRUZ'!O247</f>
        <v>0</v>
      </c>
      <c r="B253" s="33" t="str">
        <f t="shared" si="9"/>
        <v xml:space="preserve"> </v>
      </c>
      <c r="C253" s="33" t="str">
        <f t="shared" si="8"/>
        <v xml:space="preserve"> </v>
      </c>
      <c r="D253" s="34" t="str">
        <f>IF(A253&lt;0,'CAR PROMAX FILIAL CRUZ'!B247," ")</f>
        <v xml:space="preserve"> </v>
      </c>
      <c r="E253" s="35" t="str">
        <f>IF(A253&lt;0,'CAR PROMAX FILIAL CRUZ'!C247," ")</f>
        <v xml:space="preserve"> </v>
      </c>
      <c r="F253" s="34" t="str">
        <f>IF(A253&lt;0,'CAR PROMAX FILIAL CRUZ'!D247," ")</f>
        <v xml:space="preserve"> </v>
      </c>
      <c r="G253" s="34" t="str">
        <f>IF(A253&lt;0,'CAR PROMAX FILIAL CRUZ'!E247," ")</f>
        <v xml:space="preserve"> </v>
      </c>
      <c r="H253" s="34" t="str">
        <f>IF(A253&lt;0,'CAR PROMAX FILIAL CRUZ'!J247," ")</f>
        <v xml:space="preserve"> </v>
      </c>
      <c r="I253" s="34"/>
      <c r="J253" s="34"/>
      <c r="K253" s="34" t="str">
        <f>IF(A253&lt;0,'CAR PROMAX FILIAL CRUZ'!O247," ")</f>
        <v xml:space="preserve"> </v>
      </c>
      <c r="L253" s="36" t="str">
        <f>IF(A253&lt;0,'CAR PROMAX FILIAL CRUZ'!P247," ")</f>
        <v xml:space="preserve"> </v>
      </c>
      <c r="M253" s="36" t="str">
        <f>IF(A253&lt;0,'CAR PROMAX FILIAL CRUZ'!Q247," ")</f>
        <v xml:space="preserve"> </v>
      </c>
      <c r="N253" s="36" t="str">
        <f>IF(A253&lt;0,'CAR PROMAX FILIAL CRUZ'!R247," ")</f>
        <v xml:space="preserve"> </v>
      </c>
      <c r="O253" s="37" t="str">
        <f>IF(A253&lt;0,'CAR PROMAX FILIAL CRUZ'!S247," ")</f>
        <v xml:space="preserve"> </v>
      </c>
      <c r="P253" s="37" t="str">
        <f>IF(A253&lt;0,'CAR PROMAX FILIAL CRUZ'!T247," ")</f>
        <v xml:space="preserve"> </v>
      </c>
      <c r="Q253" s="37" t="str">
        <f>IF(A253&lt;0,'CAR PROMAX FILIAL CRUZ'!U247," ")</f>
        <v xml:space="preserve"> </v>
      </c>
      <c r="R253" s="34" t="str">
        <f>IF(A253&lt;0,'CAR PROMAX FILIAL CRUZ'!V247," ")</f>
        <v xml:space="preserve"> </v>
      </c>
    </row>
    <row r="254" spans="1:18" x14ac:dyDescent="0.25">
      <c r="A254">
        <f>'CAR PROMAX FILIAL CRUZ'!O248</f>
        <v>0</v>
      </c>
      <c r="B254" s="33" t="str">
        <f t="shared" si="9"/>
        <v xml:space="preserve"> </v>
      </c>
      <c r="C254" s="33" t="str">
        <f t="shared" si="8"/>
        <v xml:space="preserve"> </v>
      </c>
      <c r="D254" s="34" t="str">
        <f>IF(A254&lt;0,'CAR PROMAX FILIAL CRUZ'!B248," ")</f>
        <v xml:space="preserve"> </v>
      </c>
      <c r="E254" s="35" t="str">
        <f>IF(A254&lt;0,'CAR PROMAX FILIAL CRUZ'!C248," ")</f>
        <v xml:space="preserve"> </v>
      </c>
      <c r="F254" s="34" t="str">
        <f>IF(A254&lt;0,'CAR PROMAX FILIAL CRUZ'!D248," ")</f>
        <v xml:space="preserve"> </v>
      </c>
      <c r="G254" s="34" t="str">
        <f>IF(A254&lt;0,'CAR PROMAX FILIAL CRUZ'!E248," ")</f>
        <v xml:space="preserve"> </v>
      </c>
      <c r="H254" s="34" t="str">
        <f>IF(A254&lt;0,'CAR PROMAX FILIAL CRUZ'!J248," ")</f>
        <v xml:space="preserve"> </v>
      </c>
      <c r="I254" s="34"/>
      <c r="J254" s="34"/>
      <c r="K254" s="34" t="str">
        <f>IF(A254&lt;0,'CAR PROMAX FILIAL CRUZ'!O248," ")</f>
        <v xml:space="preserve"> </v>
      </c>
      <c r="L254" s="36" t="str">
        <f>IF(A254&lt;0,'CAR PROMAX FILIAL CRUZ'!P248," ")</f>
        <v xml:space="preserve"> </v>
      </c>
      <c r="M254" s="36" t="str">
        <f>IF(A254&lt;0,'CAR PROMAX FILIAL CRUZ'!Q248," ")</f>
        <v xml:space="preserve"> </v>
      </c>
      <c r="N254" s="36" t="str">
        <f>IF(A254&lt;0,'CAR PROMAX FILIAL CRUZ'!R248," ")</f>
        <v xml:space="preserve"> </v>
      </c>
      <c r="O254" s="37" t="str">
        <f>IF(A254&lt;0,'CAR PROMAX FILIAL CRUZ'!S248," ")</f>
        <v xml:space="preserve"> </v>
      </c>
      <c r="P254" s="37" t="str">
        <f>IF(A254&lt;0,'CAR PROMAX FILIAL CRUZ'!T248," ")</f>
        <v xml:space="preserve"> </v>
      </c>
      <c r="Q254" s="37" t="str">
        <f>IF(A254&lt;0,'CAR PROMAX FILIAL CRUZ'!U248," ")</f>
        <v xml:space="preserve"> </v>
      </c>
      <c r="R254" s="34" t="str">
        <f>IF(A254&lt;0,'CAR PROMAX FILIAL CRUZ'!V248," ")</f>
        <v xml:space="preserve"> </v>
      </c>
    </row>
    <row r="255" spans="1:18" x14ac:dyDescent="0.25">
      <c r="A255">
        <f>'CAR PROMAX FILIAL CRUZ'!O249</f>
        <v>0</v>
      </c>
      <c r="B255" s="33" t="str">
        <f t="shared" si="9"/>
        <v xml:space="preserve"> </v>
      </c>
      <c r="C255" s="33" t="str">
        <f t="shared" si="8"/>
        <v xml:space="preserve"> </v>
      </c>
      <c r="D255" s="34" t="str">
        <f>IF(A255&lt;0,'CAR PROMAX FILIAL CRUZ'!B249," ")</f>
        <v xml:space="preserve"> </v>
      </c>
      <c r="E255" s="35" t="str">
        <f>IF(A255&lt;0,'CAR PROMAX FILIAL CRUZ'!C249," ")</f>
        <v xml:space="preserve"> </v>
      </c>
      <c r="F255" s="34" t="str">
        <f>IF(A255&lt;0,'CAR PROMAX FILIAL CRUZ'!D249," ")</f>
        <v xml:space="preserve"> </v>
      </c>
      <c r="G255" s="34" t="str">
        <f>IF(A255&lt;0,'CAR PROMAX FILIAL CRUZ'!E249," ")</f>
        <v xml:space="preserve"> </v>
      </c>
      <c r="H255" s="34" t="str">
        <f>IF(A255&lt;0,'CAR PROMAX FILIAL CRUZ'!J249," ")</f>
        <v xml:space="preserve"> </v>
      </c>
      <c r="I255" s="34"/>
      <c r="J255" s="34"/>
      <c r="K255" s="34" t="str">
        <f>IF(A255&lt;0,'CAR PROMAX FILIAL CRUZ'!O249," ")</f>
        <v xml:space="preserve"> </v>
      </c>
      <c r="L255" s="36" t="str">
        <f>IF(A255&lt;0,'CAR PROMAX FILIAL CRUZ'!P249," ")</f>
        <v xml:space="preserve"> </v>
      </c>
      <c r="M255" s="36" t="str">
        <f>IF(A255&lt;0,'CAR PROMAX FILIAL CRUZ'!Q249," ")</f>
        <v xml:space="preserve"> </v>
      </c>
      <c r="N255" s="36" t="str">
        <f>IF(A255&lt;0,'CAR PROMAX FILIAL CRUZ'!R249," ")</f>
        <v xml:space="preserve"> </v>
      </c>
      <c r="O255" s="37" t="str">
        <f>IF(A255&lt;0,'CAR PROMAX FILIAL CRUZ'!S249," ")</f>
        <v xml:space="preserve"> </v>
      </c>
      <c r="P255" s="37" t="str">
        <f>IF(A255&lt;0,'CAR PROMAX FILIAL CRUZ'!T249," ")</f>
        <v xml:space="preserve"> </v>
      </c>
      <c r="Q255" s="37" t="str">
        <f>IF(A255&lt;0,'CAR PROMAX FILIAL CRUZ'!U249," ")</f>
        <v xml:space="preserve"> </v>
      </c>
      <c r="R255" s="34" t="str">
        <f>IF(A255&lt;0,'CAR PROMAX FILIAL CRUZ'!V249," ")</f>
        <v xml:space="preserve"> </v>
      </c>
    </row>
    <row r="256" spans="1:18" x14ac:dyDescent="0.25">
      <c r="A256">
        <f>'CAR PROMAX FILIAL CRUZ'!O250</f>
        <v>0</v>
      </c>
      <c r="B256" s="33" t="str">
        <f t="shared" si="9"/>
        <v xml:space="preserve"> </v>
      </c>
      <c r="C256" s="33" t="str">
        <f t="shared" si="8"/>
        <v xml:space="preserve"> </v>
      </c>
      <c r="D256" s="34" t="str">
        <f>IF(A256&lt;0,'CAR PROMAX FILIAL CRUZ'!B250," ")</f>
        <v xml:space="preserve"> </v>
      </c>
      <c r="E256" s="35" t="str">
        <f>IF(A256&lt;0,'CAR PROMAX FILIAL CRUZ'!C250," ")</f>
        <v xml:space="preserve"> </v>
      </c>
      <c r="F256" s="34" t="str">
        <f>IF(A256&lt;0,'CAR PROMAX FILIAL CRUZ'!D250," ")</f>
        <v xml:space="preserve"> </v>
      </c>
      <c r="G256" s="34" t="str">
        <f>IF(A256&lt;0,'CAR PROMAX FILIAL CRUZ'!E250," ")</f>
        <v xml:space="preserve"> </v>
      </c>
      <c r="H256" s="34" t="str">
        <f>IF(A256&lt;0,'CAR PROMAX FILIAL CRUZ'!J250," ")</f>
        <v xml:space="preserve"> </v>
      </c>
      <c r="I256" s="34"/>
      <c r="J256" s="34"/>
      <c r="K256" s="34" t="str">
        <f>IF(A256&lt;0,'CAR PROMAX FILIAL CRUZ'!O250," ")</f>
        <v xml:space="preserve"> </v>
      </c>
      <c r="L256" s="36" t="str">
        <f>IF(A256&lt;0,'CAR PROMAX FILIAL CRUZ'!P250," ")</f>
        <v xml:space="preserve"> </v>
      </c>
      <c r="M256" s="36" t="str">
        <f>IF(A256&lt;0,'CAR PROMAX FILIAL CRUZ'!Q250," ")</f>
        <v xml:space="preserve"> </v>
      </c>
      <c r="N256" s="36" t="str">
        <f>IF(A256&lt;0,'CAR PROMAX FILIAL CRUZ'!R250," ")</f>
        <v xml:space="preserve"> </v>
      </c>
      <c r="O256" s="37" t="str">
        <f>IF(A256&lt;0,'CAR PROMAX FILIAL CRUZ'!S250," ")</f>
        <v xml:space="preserve"> </v>
      </c>
      <c r="P256" s="37" t="str">
        <f>IF(A256&lt;0,'CAR PROMAX FILIAL CRUZ'!T250," ")</f>
        <v xml:space="preserve"> </v>
      </c>
      <c r="Q256" s="37" t="str">
        <f>IF(A256&lt;0,'CAR PROMAX FILIAL CRUZ'!U250," ")</f>
        <v xml:space="preserve"> </v>
      </c>
      <c r="R256" s="34" t="str">
        <f>IF(A256&lt;0,'CAR PROMAX FILIAL CRUZ'!V250," ")</f>
        <v xml:space="preserve"> </v>
      </c>
    </row>
    <row r="257" spans="1:18" x14ac:dyDescent="0.25">
      <c r="A257">
        <f>'CAR PROMAX FILIAL CRUZ'!O251</f>
        <v>0</v>
      </c>
      <c r="B257" s="33" t="str">
        <f t="shared" si="9"/>
        <v xml:space="preserve"> </v>
      </c>
      <c r="C257" s="33" t="str">
        <f t="shared" si="8"/>
        <v xml:space="preserve"> </v>
      </c>
      <c r="D257" s="34" t="str">
        <f>IF(A257&lt;0,'CAR PROMAX FILIAL CRUZ'!B251," ")</f>
        <v xml:space="preserve"> </v>
      </c>
      <c r="E257" s="35" t="str">
        <f>IF(A257&lt;0,'CAR PROMAX FILIAL CRUZ'!C251," ")</f>
        <v xml:space="preserve"> </v>
      </c>
      <c r="F257" s="34" t="str">
        <f>IF(A257&lt;0,'CAR PROMAX FILIAL CRUZ'!D251," ")</f>
        <v xml:space="preserve"> </v>
      </c>
      <c r="G257" s="34" t="str">
        <f>IF(A257&lt;0,'CAR PROMAX FILIAL CRUZ'!E251," ")</f>
        <v xml:space="preserve"> </v>
      </c>
      <c r="H257" s="34" t="str">
        <f>IF(A257&lt;0,'CAR PROMAX FILIAL CRUZ'!J251," ")</f>
        <v xml:space="preserve"> </v>
      </c>
      <c r="I257" s="34"/>
      <c r="J257" s="34"/>
      <c r="K257" s="34" t="str">
        <f>IF(A257&lt;0,'CAR PROMAX FILIAL CRUZ'!O251," ")</f>
        <v xml:space="preserve"> </v>
      </c>
      <c r="L257" s="36" t="str">
        <f>IF(A257&lt;0,'CAR PROMAX FILIAL CRUZ'!P251," ")</f>
        <v xml:space="preserve"> </v>
      </c>
      <c r="M257" s="36" t="str">
        <f>IF(A257&lt;0,'CAR PROMAX FILIAL CRUZ'!Q251," ")</f>
        <v xml:space="preserve"> </v>
      </c>
      <c r="N257" s="36" t="str">
        <f>IF(A257&lt;0,'CAR PROMAX FILIAL CRUZ'!R251," ")</f>
        <v xml:space="preserve"> </v>
      </c>
      <c r="O257" s="37" t="str">
        <f>IF(A257&lt;0,'CAR PROMAX FILIAL CRUZ'!S251," ")</f>
        <v xml:space="preserve"> </v>
      </c>
      <c r="P257" s="37" t="str">
        <f>IF(A257&lt;0,'CAR PROMAX FILIAL CRUZ'!T251," ")</f>
        <v xml:space="preserve"> </v>
      </c>
      <c r="Q257" s="37" t="str">
        <f>IF(A257&lt;0,'CAR PROMAX FILIAL CRUZ'!U251," ")</f>
        <v xml:space="preserve"> </v>
      </c>
      <c r="R257" s="34" t="str">
        <f>IF(A257&lt;0,'CAR PROMAX FILIAL CRUZ'!V251," ")</f>
        <v xml:space="preserve"> </v>
      </c>
    </row>
    <row r="258" spans="1:18" x14ac:dyDescent="0.25">
      <c r="A258">
        <f>'CAR PROMAX FILIAL CRUZ'!O252</f>
        <v>0</v>
      </c>
      <c r="B258" s="33" t="str">
        <f t="shared" si="9"/>
        <v xml:space="preserve"> </v>
      </c>
      <c r="C258" s="33" t="str">
        <f t="shared" si="8"/>
        <v xml:space="preserve"> </v>
      </c>
      <c r="D258" s="34" t="str">
        <f>IF(A258&lt;0,'CAR PROMAX FILIAL CRUZ'!B252," ")</f>
        <v xml:space="preserve"> </v>
      </c>
      <c r="E258" s="35" t="str">
        <f>IF(A258&lt;0,'CAR PROMAX FILIAL CRUZ'!C252," ")</f>
        <v xml:space="preserve"> </v>
      </c>
      <c r="F258" s="34" t="str">
        <f>IF(A258&lt;0,'CAR PROMAX FILIAL CRUZ'!D252," ")</f>
        <v xml:space="preserve"> </v>
      </c>
      <c r="G258" s="34" t="str">
        <f>IF(A258&lt;0,'CAR PROMAX FILIAL CRUZ'!E252," ")</f>
        <v xml:space="preserve"> </v>
      </c>
      <c r="H258" s="34" t="str">
        <f>IF(A258&lt;0,'CAR PROMAX FILIAL CRUZ'!J252," ")</f>
        <v xml:space="preserve"> </v>
      </c>
      <c r="I258" s="34"/>
      <c r="J258" s="34"/>
      <c r="K258" s="34" t="str">
        <f>IF(A258&lt;0,'CAR PROMAX FILIAL CRUZ'!O252," ")</f>
        <v xml:space="preserve"> </v>
      </c>
      <c r="L258" s="36" t="str">
        <f>IF(A258&lt;0,'CAR PROMAX FILIAL CRUZ'!P252," ")</f>
        <v xml:space="preserve"> </v>
      </c>
      <c r="M258" s="36" t="str">
        <f>IF(A258&lt;0,'CAR PROMAX FILIAL CRUZ'!Q252," ")</f>
        <v xml:space="preserve"> </v>
      </c>
      <c r="N258" s="36" t="str">
        <f>IF(A258&lt;0,'CAR PROMAX FILIAL CRUZ'!R252," ")</f>
        <v xml:space="preserve"> </v>
      </c>
      <c r="O258" s="37" t="str">
        <f>IF(A258&lt;0,'CAR PROMAX FILIAL CRUZ'!S252," ")</f>
        <v xml:space="preserve"> </v>
      </c>
      <c r="P258" s="37" t="str">
        <f>IF(A258&lt;0,'CAR PROMAX FILIAL CRUZ'!T252," ")</f>
        <v xml:space="preserve"> </v>
      </c>
      <c r="Q258" s="37" t="str">
        <f>IF(A258&lt;0,'CAR PROMAX FILIAL CRUZ'!U252," ")</f>
        <v xml:space="preserve"> </v>
      </c>
      <c r="R258" s="34" t="str">
        <f>IF(A258&lt;0,'CAR PROMAX FILIAL CRUZ'!V252," ")</f>
        <v xml:space="preserve"> </v>
      </c>
    </row>
    <row r="259" spans="1:18" x14ac:dyDescent="0.25">
      <c r="A259">
        <f>'CAR PROMAX FILIAL CRUZ'!O253</f>
        <v>0</v>
      </c>
      <c r="B259" s="33" t="str">
        <f t="shared" si="9"/>
        <v xml:space="preserve"> </v>
      </c>
      <c r="C259" s="33" t="str">
        <f t="shared" si="8"/>
        <v xml:space="preserve"> </v>
      </c>
      <c r="D259" s="34" t="str">
        <f>IF(A259&lt;0,'CAR PROMAX FILIAL CRUZ'!B253," ")</f>
        <v xml:space="preserve"> </v>
      </c>
      <c r="E259" s="35" t="str">
        <f>IF(A259&lt;0,'CAR PROMAX FILIAL CRUZ'!C253," ")</f>
        <v xml:space="preserve"> </v>
      </c>
      <c r="F259" s="34" t="str">
        <f>IF(A259&lt;0,'CAR PROMAX FILIAL CRUZ'!D253," ")</f>
        <v xml:space="preserve"> </v>
      </c>
      <c r="G259" s="34" t="str">
        <f>IF(A259&lt;0,'CAR PROMAX FILIAL CRUZ'!E253," ")</f>
        <v xml:space="preserve"> </v>
      </c>
      <c r="H259" s="34" t="str">
        <f>IF(A259&lt;0,'CAR PROMAX FILIAL CRUZ'!J253," ")</f>
        <v xml:space="preserve"> </v>
      </c>
      <c r="I259" s="34"/>
      <c r="J259" s="34"/>
      <c r="K259" s="34" t="str">
        <f>IF(A259&lt;0,'CAR PROMAX FILIAL CRUZ'!O253," ")</f>
        <v xml:space="preserve"> </v>
      </c>
      <c r="L259" s="36" t="str">
        <f>IF(A259&lt;0,'CAR PROMAX FILIAL CRUZ'!P253," ")</f>
        <v xml:space="preserve"> </v>
      </c>
      <c r="M259" s="36" t="str">
        <f>IF(A259&lt;0,'CAR PROMAX FILIAL CRUZ'!Q253," ")</f>
        <v xml:space="preserve"> </v>
      </c>
      <c r="N259" s="36" t="str">
        <f>IF(A259&lt;0,'CAR PROMAX FILIAL CRUZ'!R253," ")</f>
        <v xml:space="preserve"> </v>
      </c>
      <c r="O259" s="37" t="str">
        <f>IF(A259&lt;0,'CAR PROMAX FILIAL CRUZ'!S253," ")</f>
        <v xml:space="preserve"> </v>
      </c>
      <c r="P259" s="37" t="str">
        <f>IF(A259&lt;0,'CAR PROMAX FILIAL CRUZ'!T253," ")</f>
        <v xml:space="preserve"> </v>
      </c>
      <c r="Q259" s="37" t="str">
        <f>IF(A259&lt;0,'CAR PROMAX FILIAL CRUZ'!U253," ")</f>
        <v xml:space="preserve"> </v>
      </c>
      <c r="R259" s="34" t="str">
        <f>IF(A259&lt;0,'CAR PROMAX FILIAL CRUZ'!V253," ")</f>
        <v xml:space="preserve"> </v>
      </c>
    </row>
    <row r="260" spans="1:18" x14ac:dyDescent="0.25">
      <c r="A260">
        <f>'CAR PROMAX FILIAL CRUZ'!O254</f>
        <v>0</v>
      </c>
      <c r="B260" s="33" t="str">
        <f t="shared" si="9"/>
        <v xml:space="preserve"> </v>
      </c>
      <c r="C260" s="33" t="str">
        <f t="shared" si="8"/>
        <v xml:space="preserve"> </v>
      </c>
      <c r="D260" s="34" t="str">
        <f>IF(A260&lt;0,'CAR PROMAX FILIAL CRUZ'!B254," ")</f>
        <v xml:space="preserve"> </v>
      </c>
      <c r="E260" s="35" t="str">
        <f>IF(A260&lt;0,'CAR PROMAX FILIAL CRUZ'!C254," ")</f>
        <v xml:space="preserve"> </v>
      </c>
      <c r="F260" s="34" t="str">
        <f>IF(A260&lt;0,'CAR PROMAX FILIAL CRUZ'!D254," ")</f>
        <v xml:space="preserve"> </v>
      </c>
      <c r="G260" s="34" t="str">
        <f>IF(A260&lt;0,'CAR PROMAX FILIAL CRUZ'!E254," ")</f>
        <v xml:space="preserve"> </v>
      </c>
      <c r="H260" s="34" t="str">
        <f>IF(A260&lt;0,'CAR PROMAX FILIAL CRUZ'!J254," ")</f>
        <v xml:space="preserve"> </v>
      </c>
      <c r="I260" s="34"/>
      <c r="J260" s="34"/>
      <c r="K260" s="34" t="str">
        <f>IF(A260&lt;0,'CAR PROMAX FILIAL CRUZ'!O254," ")</f>
        <v xml:space="preserve"> </v>
      </c>
      <c r="L260" s="36" t="str">
        <f>IF(A260&lt;0,'CAR PROMAX FILIAL CRUZ'!P254," ")</f>
        <v xml:space="preserve"> </v>
      </c>
      <c r="M260" s="36" t="str">
        <f>IF(A260&lt;0,'CAR PROMAX FILIAL CRUZ'!Q254," ")</f>
        <v xml:space="preserve"> </v>
      </c>
      <c r="N260" s="36" t="str">
        <f>IF(A260&lt;0,'CAR PROMAX FILIAL CRUZ'!R254," ")</f>
        <v xml:space="preserve"> </v>
      </c>
      <c r="O260" s="37" t="str">
        <f>IF(A260&lt;0,'CAR PROMAX FILIAL CRUZ'!S254," ")</f>
        <v xml:space="preserve"> </v>
      </c>
      <c r="P260" s="37" t="str">
        <f>IF(A260&lt;0,'CAR PROMAX FILIAL CRUZ'!T254," ")</f>
        <v xml:space="preserve"> </v>
      </c>
      <c r="Q260" s="37" t="str">
        <f>IF(A260&lt;0,'CAR PROMAX FILIAL CRUZ'!U254," ")</f>
        <v xml:space="preserve"> </v>
      </c>
      <c r="R260" s="34" t="str">
        <f>IF(A260&lt;0,'CAR PROMAX FILIAL CRUZ'!V254," ")</f>
        <v xml:space="preserve"> </v>
      </c>
    </row>
    <row r="261" spans="1:18" x14ac:dyDescent="0.25">
      <c r="A261">
        <f>'CAR PROMAX FILIAL CRUZ'!O255</f>
        <v>0</v>
      </c>
      <c r="B261" s="33" t="str">
        <f t="shared" si="9"/>
        <v xml:space="preserve"> </v>
      </c>
      <c r="C261" s="33" t="str">
        <f t="shared" si="8"/>
        <v xml:space="preserve"> </v>
      </c>
      <c r="D261" s="34" t="str">
        <f>IF(A261&lt;0,'CAR PROMAX FILIAL CRUZ'!B255," ")</f>
        <v xml:space="preserve"> </v>
      </c>
      <c r="E261" s="35" t="str">
        <f>IF(A261&lt;0,'CAR PROMAX FILIAL CRUZ'!C255," ")</f>
        <v xml:space="preserve"> </v>
      </c>
      <c r="F261" s="34" t="str">
        <f>IF(A261&lt;0,'CAR PROMAX FILIAL CRUZ'!D255," ")</f>
        <v xml:space="preserve"> </v>
      </c>
      <c r="G261" s="34" t="str">
        <f>IF(A261&lt;0,'CAR PROMAX FILIAL CRUZ'!E255," ")</f>
        <v xml:space="preserve"> </v>
      </c>
      <c r="H261" s="34" t="str">
        <f>IF(A261&lt;0,'CAR PROMAX FILIAL CRUZ'!J255," ")</f>
        <v xml:space="preserve"> </v>
      </c>
      <c r="I261" s="34"/>
      <c r="J261" s="34"/>
      <c r="K261" s="34" t="str">
        <f>IF(A261&lt;0,'CAR PROMAX FILIAL CRUZ'!O255," ")</f>
        <v xml:space="preserve"> </v>
      </c>
      <c r="L261" s="36" t="str">
        <f>IF(A261&lt;0,'CAR PROMAX FILIAL CRUZ'!P255," ")</f>
        <v xml:space="preserve"> </v>
      </c>
      <c r="M261" s="36" t="str">
        <f>IF(A261&lt;0,'CAR PROMAX FILIAL CRUZ'!Q255," ")</f>
        <v xml:space="preserve"> </v>
      </c>
      <c r="N261" s="36" t="str">
        <f>IF(A261&lt;0,'CAR PROMAX FILIAL CRUZ'!R255," ")</f>
        <v xml:space="preserve"> </v>
      </c>
      <c r="O261" s="37" t="str">
        <f>IF(A261&lt;0,'CAR PROMAX FILIAL CRUZ'!S255," ")</f>
        <v xml:space="preserve"> </v>
      </c>
      <c r="P261" s="37" t="str">
        <f>IF(A261&lt;0,'CAR PROMAX FILIAL CRUZ'!T255," ")</f>
        <v xml:space="preserve"> </v>
      </c>
      <c r="Q261" s="37" t="str">
        <f>IF(A261&lt;0,'CAR PROMAX FILIAL CRUZ'!U255," ")</f>
        <v xml:space="preserve"> </v>
      </c>
      <c r="R261" s="34" t="str">
        <f>IF(A261&lt;0,'CAR PROMAX FILIAL CRUZ'!V255," ")</f>
        <v xml:space="preserve"> </v>
      </c>
    </row>
    <row r="262" spans="1:18" x14ac:dyDescent="0.25">
      <c r="A262">
        <f>'CAR PROMAX FILIAL CRUZ'!O256</f>
        <v>0</v>
      </c>
      <c r="B262" s="33" t="str">
        <f t="shared" si="9"/>
        <v xml:space="preserve"> </v>
      </c>
      <c r="C262" s="33" t="str">
        <f t="shared" si="8"/>
        <v xml:space="preserve"> </v>
      </c>
      <c r="D262" s="34" t="str">
        <f>IF(A262&lt;0,'CAR PROMAX FILIAL CRUZ'!B256," ")</f>
        <v xml:space="preserve"> </v>
      </c>
      <c r="E262" s="35" t="str">
        <f>IF(A262&lt;0,'CAR PROMAX FILIAL CRUZ'!C256," ")</f>
        <v xml:space="preserve"> </v>
      </c>
      <c r="F262" s="34" t="str">
        <f>IF(A262&lt;0,'CAR PROMAX FILIAL CRUZ'!D256," ")</f>
        <v xml:space="preserve"> </v>
      </c>
      <c r="G262" s="34" t="str">
        <f>IF(A262&lt;0,'CAR PROMAX FILIAL CRUZ'!E256," ")</f>
        <v xml:space="preserve"> </v>
      </c>
      <c r="H262" s="34" t="str">
        <f>IF(A262&lt;0,'CAR PROMAX FILIAL CRUZ'!J256," ")</f>
        <v xml:space="preserve"> </v>
      </c>
      <c r="I262" s="34"/>
      <c r="J262" s="34"/>
      <c r="K262" s="34" t="str">
        <f>IF(A262&lt;0,'CAR PROMAX FILIAL CRUZ'!O256," ")</f>
        <v xml:space="preserve"> </v>
      </c>
      <c r="L262" s="36" t="str">
        <f>IF(A262&lt;0,'CAR PROMAX FILIAL CRUZ'!P256," ")</f>
        <v xml:space="preserve"> </v>
      </c>
      <c r="M262" s="36" t="str">
        <f>IF(A262&lt;0,'CAR PROMAX FILIAL CRUZ'!Q256," ")</f>
        <v xml:space="preserve"> </v>
      </c>
      <c r="N262" s="36" t="str">
        <f>IF(A262&lt;0,'CAR PROMAX FILIAL CRUZ'!R256," ")</f>
        <v xml:space="preserve"> </v>
      </c>
      <c r="O262" s="37" t="str">
        <f>IF(A262&lt;0,'CAR PROMAX FILIAL CRUZ'!S256," ")</f>
        <v xml:space="preserve"> </v>
      </c>
      <c r="P262" s="37" t="str">
        <f>IF(A262&lt;0,'CAR PROMAX FILIAL CRUZ'!T256," ")</f>
        <v xml:space="preserve"> </v>
      </c>
      <c r="Q262" s="37" t="str">
        <f>IF(A262&lt;0,'CAR PROMAX FILIAL CRUZ'!U256," ")</f>
        <v xml:space="preserve"> </v>
      </c>
      <c r="R262" s="34" t="str">
        <f>IF(A262&lt;0,'CAR PROMAX FILIAL CRUZ'!V256," ")</f>
        <v xml:space="preserve"> </v>
      </c>
    </row>
    <row r="263" spans="1:18" x14ac:dyDescent="0.25">
      <c r="A263">
        <f>'CAR PROMAX FILIAL CRUZ'!O257</f>
        <v>0</v>
      </c>
      <c r="B263" s="33" t="str">
        <f t="shared" si="9"/>
        <v xml:space="preserve"> </v>
      </c>
      <c r="C263" s="33" t="str">
        <f t="shared" si="8"/>
        <v xml:space="preserve"> </v>
      </c>
      <c r="D263" s="34" t="str">
        <f>IF(A263&lt;0,'CAR PROMAX FILIAL CRUZ'!B257," ")</f>
        <v xml:space="preserve"> </v>
      </c>
      <c r="E263" s="35" t="str">
        <f>IF(A263&lt;0,'CAR PROMAX FILIAL CRUZ'!C257," ")</f>
        <v xml:space="preserve"> </v>
      </c>
      <c r="F263" s="34" t="str">
        <f>IF(A263&lt;0,'CAR PROMAX FILIAL CRUZ'!D257," ")</f>
        <v xml:space="preserve"> </v>
      </c>
      <c r="G263" s="34" t="str">
        <f>IF(A263&lt;0,'CAR PROMAX FILIAL CRUZ'!E257," ")</f>
        <v xml:space="preserve"> </v>
      </c>
      <c r="H263" s="34" t="str">
        <f>IF(A263&lt;0,'CAR PROMAX FILIAL CRUZ'!J257," ")</f>
        <v xml:space="preserve"> </v>
      </c>
      <c r="I263" s="34"/>
      <c r="J263" s="34"/>
      <c r="K263" s="34" t="str">
        <f>IF(A263&lt;0,'CAR PROMAX FILIAL CRUZ'!O257," ")</f>
        <v xml:space="preserve"> </v>
      </c>
      <c r="L263" s="36" t="str">
        <f>IF(A263&lt;0,'CAR PROMAX FILIAL CRUZ'!P257," ")</f>
        <v xml:space="preserve"> </v>
      </c>
      <c r="M263" s="36" t="str">
        <f>IF(A263&lt;0,'CAR PROMAX FILIAL CRUZ'!Q257," ")</f>
        <v xml:space="preserve"> </v>
      </c>
      <c r="N263" s="36" t="str">
        <f>IF(A263&lt;0,'CAR PROMAX FILIAL CRUZ'!R257," ")</f>
        <v xml:space="preserve"> </v>
      </c>
      <c r="O263" s="37" t="str">
        <f>IF(A263&lt;0,'CAR PROMAX FILIAL CRUZ'!S257," ")</f>
        <v xml:space="preserve"> </v>
      </c>
      <c r="P263" s="37" t="str">
        <f>IF(A263&lt;0,'CAR PROMAX FILIAL CRUZ'!T257," ")</f>
        <v xml:space="preserve"> </v>
      </c>
      <c r="Q263" s="37" t="str">
        <f>IF(A263&lt;0,'CAR PROMAX FILIAL CRUZ'!U257," ")</f>
        <v xml:space="preserve"> </v>
      </c>
      <c r="R263" s="34" t="str">
        <f>IF(A263&lt;0,'CAR PROMAX FILIAL CRUZ'!V257," ")</f>
        <v xml:space="preserve"> </v>
      </c>
    </row>
    <row r="264" spans="1:18" x14ac:dyDescent="0.25">
      <c r="A264">
        <f>'CAR PROMAX FILIAL CRUZ'!O258</f>
        <v>0</v>
      </c>
      <c r="B264" s="33" t="str">
        <f t="shared" si="9"/>
        <v xml:space="preserve"> </v>
      </c>
      <c r="C264" s="33" t="str">
        <f t="shared" ref="C264:C327" si="10">IF(K264&lt;0,IF(K264&gt;-16,"RN",IF(K264&gt;-46,"GV","GC"))," ")</f>
        <v xml:space="preserve"> </v>
      </c>
      <c r="D264" s="34" t="str">
        <f>IF(A264&lt;0,'CAR PROMAX FILIAL CRUZ'!B258," ")</f>
        <v xml:space="preserve"> </v>
      </c>
      <c r="E264" s="35" t="str">
        <f>IF(A264&lt;0,'CAR PROMAX FILIAL CRUZ'!C258," ")</f>
        <v xml:space="preserve"> </v>
      </c>
      <c r="F264" s="34" t="str">
        <f>IF(A264&lt;0,'CAR PROMAX FILIAL CRUZ'!D258," ")</f>
        <v xml:space="preserve"> </v>
      </c>
      <c r="G264" s="34" t="str">
        <f>IF(A264&lt;0,'CAR PROMAX FILIAL CRUZ'!E258," ")</f>
        <v xml:space="preserve"> </v>
      </c>
      <c r="H264" s="34" t="str">
        <f>IF(A264&lt;0,'CAR PROMAX FILIAL CRUZ'!J258," ")</f>
        <v xml:space="preserve"> </v>
      </c>
      <c r="I264" s="34"/>
      <c r="J264" s="34"/>
      <c r="K264" s="34" t="str">
        <f>IF(A264&lt;0,'CAR PROMAX FILIAL CRUZ'!O258," ")</f>
        <v xml:space="preserve"> </v>
      </c>
      <c r="L264" s="36" t="str">
        <f>IF(A264&lt;0,'CAR PROMAX FILIAL CRUZ'!P258," ")</f>
        <v xml:space="preserve"> </v>
      </c>
      <c r="M264" s="36" t="str">
        <f>IF(A264&lt;0,'CAR PROMAX FILIAL CRUZ'!Q258," ")</f>
        <v xml:space="preserve"> </v>
      </c>
      <c r="N264" s="36" t="str">
        <f>IF(A264&lt;0,'CAR PROMAX FILIAL CRUZ'!R258," ")</f>
        <v xml:space="preserve"> </v>
      </c>
      <c r="O264" s="37" t="str">
        <f>IF(A264&lt;0,'CAR PROMAX FILIAL CRUZ'!S258," ")</f>
        <v xml:space="preserve"> </v>
      </c>
      <c r="P264" s="37" t="str">
        <f>IF(A264&lt;0,'CAR PROMAX FILIAL CRUZ'!T258," ")</f>
        <v xml:space="preserve"> </v>
      </c>
      <c r="Q264" s="37" t="str">
        <f>IF(A264&lt;0,'CAR PROMAX FILIAL CRUZ'!U258," ")</f>
        <v xml:space="preserve"> </v>
      </c>
      <c r="R264" s="34" t="str">
        <f>IF(A264&lt;0,'CAR PROMAX FILIAL CRUZ'!V258," ")</f>
        <v xml:space="preserve"> </v>
      </c>
    </row>
    <row r="265" spans="1:18" x14ac:dyDescent="0.25">
      <c r="A265">
        <f>'CAR PROMAX FILIAL CRUZ'!O259</f>
        <v>0</v>
      </c>
      <c r="B265" s="33" t="str">
        <f t="shared" si="9"/>
        <v xml:space="preserve"> </v>
      </c>
      <c r="C265" s="33" t="str">
        <f t="shared" si="10"/>
        <v xml:space="preserve"> </v>
      </c>
      <c r="D265" s="34" t="str">
        <f>IF(A265&lt;0,'CAR PROMAX FILIAL CRUZ'!B259," ")</f>
        <v xml:space="preserve"> </v>
      </c>
      <c r="E265" s="35" t="str">
        <f>IF(A265&lt;0,'CAR PROMAX FILIAL CRUZ'!C259," ")</f>
        <v xml:space="preserve"> </v>
      </c>
      <c r="F265" s="34" t="str">
        <f>IF(A265&lt;0,'CAR PROMAX FILIAL CRUZ'!D259," ")</f>
        <v xml:space="preserve"> </v>
      </c>
      <c r="G265" s="34" t="str">
        <f>IF(A265&lt;0,'CAR PROMAX FILIAL CRUZ'!E259," ")</f>
        <v xml:space="preserve"> </v>
      </c>
      <c r="H265" s="34" t="str">
        <f>IF(A265&lt;0,'CAR PROMAX FILIAL CRUZ'!J259," ")</f>
        <v xml:space="preserve"> </v>
      </c>
      <c r="I265" s="34"/>
      <c r="J265" s="34"/>
      <c r="K265" s="34" t="str">
        <f>IF(A265&lt;0,'CAR PROMAX FILIAL CRUZ'!O259," ")</f>
        <v xml:space="preserve"> </v>
      </c>
      <c r="L265" s="36" t="str">
        <f>IF(A265&lt;0,'CAR PROMAX FILIAL CRUZ'!P259," ")</f>
        <v xml:space="preserve"> </v>
      </c>
      <c r="M265" s="36" t="str">
        <f>IF(A265&lt;0,'CAR PROMAX FILIAL CRUZ'!Q259," ")</f>
        <v xml:space="preserve"> </v>
      </c>
      <c r="N265" s="36" t="str">
        <f>IF(A265&lt;0,'CAR PROMAX FILIAL CRUZ'!R259," ")</f>
        <v xml:space="preserve"> </v>
      </c>
      <c r="O265" s="37" t="str">
        <f>IF(A265&lt;0,'CAR PROMAX FILIAL CRUZ'!S259," ")</f>
        <v xml:space="preserve"> </v>
      </c>
      <c r="P265" s="37" t="str">
        <f>IF(A265&lt;0,'CAR PROMAX FILIAL CRUZ'!T259," ")</f>
        <v xml:space="preserve"> </v>
      </c>
      <c r="Q265" s="37" t="str">
        <f>IF(A265&lt;0,'CAR PROMAX FILIAL CRUZ'!U259," ")</f>
        <v xml:space="preserve"> </v>
      </c>
      <c r="R265" s="34" t="str">
        <f>IF(A265&lt;0,'CAR PROMAX FILIAL CRUZ'!V259," ")</f>
        <v xml:space="preserve"> </v>
      </c>
    </row>
    <row r="266" spans="1:18" x14ac:dyDescent="0.25">
      <c r="A266">
        <f>'CAR PROMAX FILIAL CRUZ'!O260</f>
        <v>0</v>
      </c>
      <c r="B266" s="33" t="str">
        <f t="shared" si="9"/>
        <v xml:space="preserve"> </v>
      </c>
      <c r="C266" s="33" t="str">
        <f t="shared" si="10"/>
        <v xml:space="preserve"> </v>
      </c>
      <c r="D266" s="34" t="str">
        <f>IF(A266&lt;0,'CAR PROMAX FILIAL CRUZ'!B260," ")</f>
        <v xml:space="preserve"> </v>
      </c>
      <c r="E266" s="35" t="str">
        <f>IF(A266&lt;0,'CAR PROMAX FILIAL CRUZ'!C260," ")</f>
        <v xml:space="preserve"> </v>
      </c>
      <c r="F266" s="34" t="str">
        <f>IF(A266&lt;0,'CAR PROMAX FILIAL CRUZ'!D260," ")</f>
        <v xml:space="preserve"> </v>
      </c>
      <c r="G266" s="34" t="str">
        <f>IF(A266&lt;0,'CAR PROMAX FILIAL CRUZ'!E260," ")</f>
        <v xml:space="preserve"> </v>
      </c>
      <c r="H266" s="34" t="str">
        <f>IF(A266&lt;0,'CAR PROMAX FILIAL CRUZ'!J260," ")</f>
        <v xml:space="preserve"> </v>
      </c>
      <c r="I266" s="34"/>
      <c r="J266" s="34"/>
      <c r="K266" s="34" t="str">
        <f>IF(A266&lt;0,'CAR PROMAX FILIAL CRUZ'!O260," ")</f>
        <v xml:space="preserve"> </v>
      </c>
      <c r="L266" s="36" t="str">
        <f>IF(A266&lt;0,'CAR PROMAX FILIAL CRUZ'!P260," ")</f>
        <v xml:space="preserve"> </v>
      </c>
      <c r="M266" s="36" t="str">
        <f>IF(A266&lt;0,'CAR PROMAX FILIAL CRUZ'!Q260," ")</f>
        <v xml:space="preserve"> </v>
      </c>
      <c r="N266" s="36" t="str">
        <f>IF(A266&lt;0,'CAR PROMAX FILIAL CRUZ'!R260," ")</f>
        <v xml:space="preserve"> </v>
      </c>
      <c r="O266" s="37" t="str">
        <f>IF(A266&lt;0,'CAR PROMAX FILIAL CRUZ'!S260," ")</f>
        <v xml:space="preserve"> </v>
      </c>
      <c r="P266" s="37" t="str">
        <f>IF(A266&lt;0,'CAR PROMAX FILIAL CRUZ'!T260," ")</f>
        <v xml:space="preserve"> </v>
      </c>
      <c r="Q266" s="37" t="str">
        <f>IF(A266&lt;0,'CAR PROMAX FILIAL CRUZ'!U260," ")</f>
        <v xml:space="preserve"> </v>
      </c>
      <c r="R266" s="34" t="str">
        <f>IF(A266&lt;0,'CAR PROMAX FILIAL CRUZ'!V260," ")</f>
        <v xml:space="preserve"> </v>
      </c>
    </row>
    <row r="267" spans="1:18" x14ac:dyDescent="0.25">
      <c r="A267">
        <f>'CAR PROMAX FILIAL CRUZ'!O261</f>
        <v>0</v>
      </c>
      <c r="B267" s="33" t="str">
        <f t="shared" si="9"/>
        <v xml:space="preserve"> </v>
      </c>
      <c r="C267" s="33" t="str">
        <f t="shared" si="10"/>
        <v xml:space="preserve"> </v>
      </c>
      <c r="D267" s="34" t="str">
        <f>IF(A267&lt;0,'CAR PROMAX FILIAL CRUZ'!B261," ")</f>
        <v xml:space="preserve"> </v>
      </c>
      <c r="E267" s="35" t="str">
        <f>IF(A267&lt;0,'CAR PROMAX FILIAL CRUZ'!C261," ")</f>
        <v xml:space="preserve"> </v>
      </c>
      <c r="F267" s="34" t="str">
        <f>IF(A267&lt;0,'CAR PROMAX FILIAL CRUZ'!D261," ")</f>
        <v xml:space="preserve"> </v>
      </c>
      <c r="G267" s="34" t="str">
        <f>IF(A267&lt;0,'CAR PROMAX FILIAL CRUZ'!E261," ")</f>
        <v xml:space="preserve"> </v>
      </c>
      <c r="H267" s="34" t="str">
        <f>IF(A267&lt;0,'CAR PROMAX FILIAL CRUZ'!J261," ")</f>
        <v xml:space="preserve"> </v>
      </c>
      <c r="I267" s="34"/>
      <c r="J267" s="34"/>
      <c r="K267" s="34" t="str">
        <f>IF(A267&lt;0,'CAR PROMAX FILIAL CRUZ'!O261," ")</f>
        <v xml:space="preserve"> </v>
      </c>
      <c r="L267" s="36" t="str">
        <f>IF(A267&lt;0,'CAR PROMAX FILIAL CRUZ'!P261," ")</f>
        <v xml:space="preserve"> </v>
      </c>
      <c r="M267" s="36" t="str">
        <f>IF(A267&lt;0,'CAR PROMAX FILIAL CRUZ'!Q261," ")</f>
        <v xml:space="preserve"> </v>
      </c>
      <c r="N267" s="36" t="str">
        <f>IF(A267&lt;0,'CAR PROMAX FILIAL CRUZ'!R261," ")</f>
        <v xml:space="preserve"> </v>
      </c>
      <c r="O267" s="37" t="str">
        <f>IF(A267&lt;0,'CAR PROMAX FILIAL CRUZ'!S261," ")</f>
        <v xml:space="preserve"> </v>
      </c>
      <c r="P267" s="37" t="str">
        <f>IF(A267&lt;0,'CAR PROMAX FILIAL CRUZ'!T261," ")</f>
        <v xml:space="preserve"> </v>
      </c>
      <c r="Q267" s="37" t="str">
        <f>IF(A267&lt;0,'CAR PROMAX FILIAL CRUZ'!U261," ")</f>
        <v xml:space="preserve"> </v>
      </c>
      <c r="R267" s="34" t="str">
        <f>IF(A267&lt;0,'CAR PROMAX FILIAL CRUZ'!V261," ")</f>
        <v xml:space="preserve"> </v>
      </c>
    </row>
    <row r="268" spans="1:18" x14ac:dyDescent="0.25">
      <c r="A268">
        <f>'CAR PROMAX FILIAL CRUZ'!O262</f>
        <v>0</v>
      </c>
      <c r="B268" s="33" t="str">
        <f t="shared" si="9"/>
        <v xml:space="preserve"> </v>
      </c>
      <c r="C268" s="33" t="str">
        <f t="shared" si="10"/>
        <v xml:space="preserve"> </v>
      </c>
      <c r="D268" s="34" t="str">
        <f>IF(A268&lt;0,'CAR PROMAX FILIAL CRUZ'!B262," ")</f>
        <v xml:space="preserve"> </v>
      </c>
      <c r="E268" s="35" t="str">
        <f>IF(A268&lt;0,'CAR PROMAX FILIAL CRUZ'!C262," ")</f>
        <v xml:space="preserve"> </v>
      </c>
      <c r="F268" s="34" t="str">
        <f>IF(A268&lt;0,'CAR PROMAX FILIAL CRUZ'!D262," ")</f>
        <v xml:space="preserve"> </v>
      </c>
      <c r="G268" s="34" t="str">
        <f>IF(A268&lt;0,'CAR PROMAX FILIAL CRUZ'!E262," ")</f>
        <v xml:space="preserve"> </v>
      </c>
      <c r="H268" s="34" t="str">
        <f>IF(A268&lt;0,'CAR PROMAX FILIAL CRUZ'!J262," ")</f>
        <v xml:space="preserve"> </v>
      </c>
      <c r="I268" s="34"/>
      <c r="J268" s="34"/>
      <c r="K268" s="34" t="str">
        <f>IF(A268&lt;0,'CAR PROMAX FILIAL CRUZ'!O262," ")</f>
        <v xml:space="preserve"> </v>
      </c>
      <c r="L268" s="36" t="str">
        <f>IF(A268&lt;0,'CAR PROMAX FILIAL CRUZ'!P262," ")</f>
        <v xml:space="preserve"> </v>
      </c>
      <c r="M268" s="36" t="str">
        <f>IF(A268&lt;0,'CAR PROMAX FILIAL CRUZ'!Q262," ")</f>
        <v xml:space="preserve"> </v>
      </c>
      <c r="N268" s="36" t="str">
        <f>IF(A268&lt;0,'CAR PROMAX FILIAL CRUZ'!R262," ")</f>
        <v xml:space="preserve"> </v>
      </c>
      <c r="O268" s="37" t="str">
        <f>IF(A268&lt;0,'CAR PROMAX FILIAL CRUZ'!S262," ")</f>
        <v xml:space="preserve"> </v>
      </c>
      <c r="P268" s="37" t="str">
        <f>IF(A268&lt;0,'CAR PROMAX FILIAL CRUZ'!T262," ")</f>
        <v xml:space="preserve"> </v>
      </c>
      <c r="Q268" s="37" t="str">
        <f>IF(A268&lt;0,'CAR PROMAX FILIAL CRUZ'!U262," ")</f>
        <v xml:space="preserve"> </v>
      </c>
      <c r="R268" s="34" t="str">
        <f>IF(A268&lt;0,'CAR PROMAX FILIAL CRUZ'!V262," ")</f>
        <v xml:space="preserve"> </v>
      </c>
    </row>
    <row r="269" spans="1:18" x14ac:dyDescent="0.25">
      <c r="A269">
        <f>'CAR PROMAX FILIAL CRUZ'!O263</f>
        <v>0</v>
      </c>
      <c r="B269" s="33" t="str">
        <f t="shared" si="9"/>
        <v xml:space="preserve"> </v>
      </c>
      <c r="C269" s="33" t="str">
        <f t="shared" si="10"/>
        <v xml:space="preserve"> </v>
      </c>
      <c r="D269" s="34" t="str">
        <f>IF(A269&lt;0,'CAR PROMAX FILIAL CRUZ'!B263," ")</f>
        <v xml:space="preserve"> </v>
      </c>
      <c r="E269" s="35" t="str">
        <f>IF(A269&lt;0,'CAR PROMAX FILIAL CRUZ'!C263," ")</f>
        <v xml:space="preserve"> </v>
      </c>
      <c r="F269" s="34" t="str">
        <f>IF(A269&lt;0,'CAR PROMAX FILIAL CRUZ'!D263," ")</f>
        <v xml:space="preserve"> </v>
      </c>
      <c r="G269" s="34" t="str">
        <f>IF(A269&lt;0,'CAR PROMAX FILIAL CRUZ'!E263," ")</f>
        <v xml:space="preserve"> </v>
      </c>
      <c r="H269" s="34" t="str">
        <f>IF(A269&lt;0,'CAR PROMAX FILIAL CRUZ'!J263," ")</f>
        <v xml:space="preserve"> </v>
      </c>
      <c r="I269" s="34"/>
      <c r="J269" s="34"/>
      <c r="K269" s="34" t="str">
        <f>IF(A269&lt;0,'CAR PROMAX FILIAL CRUZ'!O263," ")</f>
        <v xml:space="preserve"> </v>
      </c>
      <c r="L269" s="36" t="str">
        <f>IF(A269&lt;0,'CAR PROMAX FILIAL CRUZ'!P263," ")</f>
        <v xml:space="preserve"> </v>
      </c>
      <c r="M269" s="36" t="str">
        <f>IF(A269&lt;0,'CAR PROMAX FILIAL CRUZ'!Q263," ")</f>
        <v xml:space="preserve"> </v>
      </c>
      <c r="N269" s="36" t="str">
        <f>IF(A269&lt;0,'CAR PROMAX FILIAL CRUZ'!R263," ")</f>
        <v xml:space="preserve"> </v>
      </c>
      <c r="O269" s="37" t="str">
        <f>IF(A269&lt;0,'CAR PROMAX FILIAL CRUZ'!S263," ")</f>
        <v xml:space="preserve"> </v>
      </c>
      <c r="P269" s="37" t="str">
        <f>IF(A269&lt;0,'CAR PROMAX FILIAL CRUZ'!T263," ")</f>
        <v xml:space="preserve"> </v>
      </c>
      <c r="Q269" s="37" t="str">
        <f>IF(A269&lt;0,'CAR PROMAX FILIAL CRUZ'!U263," ")</f>
        <v xml:space="preserve"> </v>
      </c>
      <c r="R269" s="34" t="str">
        <f>IF(A269&lt;0,'CAR PROMAX FILIAL CRUZ'!V263," ")</f>
        <v xml:space="preserve"> </v>
      </c>
    </row>
    <row r="270" spans="1:18" x14ac:dyDescent="0.25">
      <c r="A270">
        <f>'CAR PROMAX FILIAL CRUZ'!O264</f>
        <v>0</v>
      </c>
      <c r="B270" s="33" t="str">
        <f t="shared" ref="B270:B333" si="11">IF(K270&lt;0,IF(K270&gt;-31,"INAD.",IF(K270&gt;-75,"IREC.","PDD"))," ")</f>
        <v xml:space="preserve"> </v>
      </c>
      <c r="C270" s="33" t="str">
        <f t="shared" si="10"/>
        <v xml:space="preserve"> </v>
      </c>
      <c r="D270" s="34" t="str">
        <f>IF(A270&lt;0,'CAR PROMAX FILIAL CRUZ'!B264," ")</f>
        <v xml:space="preserve"> </v>
      </c>
      <c r="E270" s="35" t="str">
        <f>IF(A270&lt;0,'CAR PROMAX FILIAL CRUZ'!C264," ")</f>
        <v xml:space="preserve"> </v>
      </c>
      <c r="F270" s="34" t="str">
        <f>IF(A270&lt;0,'CAR PROMAX FILIAL CRUZ'!D264," ")</f>
        <v xml:space="preserve"> </v>
      </c>
      <c r="G270" s="34" t="str">
        <f>IF(A270&lt;0,'CAR PROMAX FILIAL CRUZ'!E264," ")</f>
        <v xml:space="preserve"> </v>
      </c>
      <c r="H270" s="34" t="str">
        <f>IF(A270&lt;0,'CAR PROMAX FILIAL CRUZ'!J264," ")</f>
        <v xml:space="preserve"> </v>
      </c>
      <c r="I270" s="34"/>
      <c r="J270" s="34"/>
      <c r="K270" s="34" t="str">
        <f>IF(A270&lt;0,'CAR PROMAX FILIAL CRUZ'!O264," ")</f>
        <v xml:space="preserve"> </v>
      </c>
      <c r="L270" s="36" t="str">
        <f>IF(A270&lt;0,'CAR PROMAX FILIAL CRUZ'!P264," ")</f>
        <v xml:space="preserve"> </v>
      </c>
      <c r="M270" s="36" t="str">
        <f>IF(A270&lt;0,'CAR PROMAX FILIAL CRUZ'!Q264," ")</f>
        <v xml:space="preserve"> </v>
      </c>
      <c r="N270" s="36" t="str">
        <f>IF(A270&lt;0,'CAR PROMAX FILIAL CRUZ'!R264," ")</f>
        <v xml:space="preserve"> </v>
      </c>
      <c r="O270" s="37" t="str">
        <f>IF(A270&lt;0,'CAR PROMAX FILIAL CRUZ'!S264," ")</f>
        <v xml:space="preserve"> </v>
      </c>
      <c r="P270" s="37" t="str">
        <f>IF(A270&lt;0,'CAR PROMAX FILIAL CRUZ'!T264," ")</f>
        <v xml:space="preserve"> </v>
      </c>
      <c r="Q270" s="37" t="str">
        <f>IF(A270&lt;0,'CAR PROMAX FILIAL CRUZ'!U264," ")</f>
        <v xml:space="preserve"> </v>
      </c>
      <c r="R270" s="34" t="str">
        <f>IF(A270&lt;0,'CAR PROMAX FILIAL CRUZ'!V264," ")</f>
        <v xml:space="preserve"> </v>
      </c>
    </row>
    <row r="271" spans="1:18" x14ac:dyDescent="0.25">
      <c r="A271">
        <f>'CAR PROMAX FILIAL CRUZ'!O265</f>
        <v>0</v>
      </c>
      <c r="B271" s="33" t="str">
        <f t="shared" si="11"/>
        <v xml:space="preserve"> </v>
      </c>
      <c r="C271" s="33" t="str">
        <f t="shared" si="10"/>
        <v xml:space="preserve"> </v>
      </c>
      <c r="D271" s="34" t="str">
        <f>IF(A271&lt;0,'CAR PROMAX FILIAL CRUZ'!B265," ")</f>
        <v xml:space="preserve"> </v>
      </c>
      <c r="E271" s="35" t="str">
        <f>IF(A271&lt;0,'CAR PROMAX FILIAL CRUZ'!C265," ")</f>
        <v xml:space="preserve"> </v>
      </c>
      <c r="F271" s="34" t="str">
        <f>IF(A271&lt;0,'CAR PROMAX FILIAL CRUZ'!D265," ")</f>
        <v xml:space="preserve"> </v>
      </c>
      <c r="G271" s="34" t="str">
        <f>IF(A271&lt;0,'CAR PROMAX FILIAL CRUZ'!E265," ")</f>
        <v xml:space="preserve"> </v>
      </c>
      <c r="H271" s="34" t="str">
        <f>IF(A271&lt;0,'CAR PROMAX FILIAL CRUZ'!J265," ")</f>
        <v xml:space="preserve"> </v>
      </c>
      <c r="I271" s="34"/>
      <c r="J271" s="34"/>
      <c r="K271" s="34" t="str">
        <f>IF(A271&lt;0,'CAR PROMAX FILIAL CRUZ'!O265," ")</f>
        <v xml:space="preserve"> </v>
      </c>
      <c r="L271" s="36" t="str">
        <f>IF(A271&lt;0,'CAR PROMAX FILIAL CRUZ'!P265," ")</f>
        <v xml:space="preserve"> </v>
      </c>
      <c r="M271" s="36" t="str">
        <f>IF(A271&lt;0,'CAR PROMAX FILIAL CRUZ'!Q265," ")</f>
        <v xml:space="preserve"> </v>
      </c>
      <c r="N271" s="36" t="str">
        <f>IF(A271&lt;0,'CAR PROMAX FILIAL CRUZ'!R265," ")</f>
        <v xml:space="preserve"> </v>
      </c>
      <c r="O271" s="37" t="str">
        <f>IF(A271&lt;0,'CAR PROMAX FILIAL CRUZ'!S265," ")</f>
        <v xml:space="preserve"> </v>
      </c>
      <c r="P271" s="37" t="str">
        <f>IF(A271&lt;0,'CAR PROMAX FILIAL CRUZ'!T265," ")</f>
        <v xml:space="preserve"> </v>
      </c>
      <c r="Q271" s="37" t="str">
        <f>IF(A271&lt;0,'CAR PROMAX FILIAL CRUZ'!U265," ")</f>
        <v xml:space="preserve"> </v>
      </c>
      <c r="R271" s="34" t="str">
        <f>IF(A271&lt;0,'CAR PROMAX FILIAL CRUZ'!V265," ")</f>
        <v xml:space="preserve"> </v>
      </c>
    </row>
    <row r="272" spans="1:18" x14ac:dyDescent="0.25">
      <c r="A272">
        <f>'CAR PROMAX FILIAL CRUZ'!O266</f>
        <v>0</v>
      </c>
      <c r="B272" s="33" t="str">
        <f t="shared" si="11"/>
        <v xml:space="preserve"> </v>
      </c>
      <c r="C272" s="33" t="str">
        <f t="shared" si="10"/>
        <v xml:space="preserve"> </v>
      </c>
      <c r="D272" s="34" t="str">
        <f>IF(A272&lt;0,'CAR PROMAX FILIAL CRUZ'!B266," ")</f>
        <v xml:space="preserve"> </v>
      </c>
      <c r="E272" s="35" t="str">
        <f>IF(A272&lt;0,'CAR PROMAX FILIAL CRUZ'!C266," ")</f>
        <v xml:space="preserve"> </v>
      </c>
      <c r="F272" s="34" t="str">
        <f>IF(A272&lt;0,'CAR PROMAX FILIAL CRUZ'!D266," ")</f>
        <v xml:space="preserve"> </v>
      </c>
      <c r="G272" s="34" t="str">
        <f>IF(A272&lt;0,'CAR PROMAX FILIAL CRUZ'!E266," ")</f>
        <v xml:space="preserve"> </v>
      </c>
      <c r="H272" s="34" t="str">
        <f>IF(A272&lt;0,'CAR PROMAX FILIAL CRUZ'!J266," ")</f>
        <v xml:space="preserve"> </v>
      </c>
      <c r="I272" s="34"/>
      <c r="J272" s="34"/>
      <c r="K272" s="34" t="str">
        <f>IF(A272&lt;0,'CAR PROMAX FILIAL CRUZ'!O266," ")</f>
        <v xml:space="preserve"> </v>
      </c>
      <c r="L272" s="36" t="str">
        <f>IF(A272&lt;0,'CAR PROMAX FILIAL CRUZ'!P266," ")</f>
        <v xml:space="preserve"> </v>
      </c>
      <c r="M272" s="36" t="str">
        <f>IF(A272&lt;0,'CAR PROMAX FILIAL CRUZ'!Q266," ")</f>
        <v xml:space="preserve"> </v>
      </c>
      <c r="N272" s="36" t="str">
        <f>IF(A272&lt;0,'CAR PROMAX FILIAL CRUZ'!R266," ")</f>
        <v xml:space="preserve"> </v>
      </c>
      <c r="O272" s="37" t="str">
        <f>IF(A272&lt;0,'CAR PROMAX FILIAL CRUZ'!S266," ")</f>
        <v xml:space="preserve"> </v>
      </c>
      <c r="P272" s="37" t="str">
        <f>IF(A272&lt;0,'CAR PROMAX FILIAL CRUZ'!T266," ")</f>
        <v xml:space="preserve"> </v>
      </c>
      <c r="Q272" s="37" t="str">
        <f>IF(A272&lt;0,'CAR PROMAX FILIAL CRUZ'!U266," ")</f>
        <v xml:space="preserve"> </v>
      </c>
      <c r="R272" s="34" t="str">
        <f>IF(A272&lt;0,'CAR PROMAX FILIAL CRUZ'!V266," ")</f>
        <v xml:space="preserve"> </v>
      </c>
    </row>
    <row r="273" spans="1:18" x14ac:dyDescent="0.25">
      <c r="A273">
        <f>'CAR PROMAX FILIAL CRUZ'!O267</f>
        <v>0</v>
      </c>
      <c r="B273" s="33" t="str">
        <f t="shared" si="11"/>
        <v xml:space="preserve"> </v>
      </c>
      <c r="C273" s="33" t="str">
        <f t="shared" si="10"/>
        <v xml:space="preserve"> </v>
      </c>
      <c r="D273" s="34" t="str">
        <f>IF(A273&lt;0,'CAR PROMAX FILIAL CRUZ'!B267," ")</f>
        <v xml:space="preserve"> </v>
      </c>
      <c r="E273" s="35" t="str">
        <f>IF(A273&lt;0,'CAR PROMAX FILIAL CRUZ'!C267," ")</f>
        <v xml:space="preserve"> </v>
      </c>
      <c r="F273" s="34" t="str">
        <f>IF(A273&lt;0,'CAR PROMAX FILIAL CRUZ'!D267," ")</f>
        <v xml:space="preserve"> </v>
      </c>
      <c r="G273" s="34" t="str">
        <f>IF(A273&lt;0,'CAR PROMAX FILIAL CRUZ'!E267," ")</f>
        <v xml:space="preserve"> </v>
      </c>
      <c r="H273" s="34" t="str">
        <f>IF(A273&lt;0,'CAR PROMAX FILIAL CRUZ'!J267," ")</f>
        <v xml:space="preserve"> </v>
      </c>
      <c r="I273" s="34"/>
      <c r="J273" s="34"/>
      <c r="K273" s="34" t="str">
        <f>IF(A273&lt;0,'CAR PROMAX FILIAL CRUZ'!O267," ")</f>
        <v xml:space="preserve"> </v>
      </c>
      <c r="L273" s="36" t="str">
        <f>IF(A273&lt;0,'CAR PROMAX FILIAL CRUZ'!P267," ")</f>
        <v xml:space="preserve"> </v>
      </c>
      <c r="M273" s="36" t="str">
        <f>IF(A273&lt;0,'CAR PROMAX FILIAL CRUZ'!Q267," ")</f>
        <v xml:space="preserve"> </v>
      </c>
      <c r="N273" s="36" t="str">
        <f>IF(A273&lt;0,'CAR PROMAX FILIAL CRUZ'!R267," ")</f>
        <v xml:space="preserve"> </v>
      </c>
      <c r="O273" s="37" t="str">
        <f>IF(A273&lt;0,'CAR PROMAX FILIAL CRUZ'!S267," ")</f>
        <v xml:space="preserve"> </v>
      </c>
      <c r="P273" s="37" t="str">
        <f>IF(A273&lt;0,'CAR PROMAX FILIAL CRUZ'!T267," ")</f>
        <v xml:space="preserve"> </v>
      </c>
      <c r="Q273" s="37" t="str">
        <f>IF(A273&lt;0,'CAR PROMAX FILIAL CRUZ'!U267," ")</f>
        <v xml:space="preserve"> </v>
      </c>
      <c r="R273" s="34" t="str">
        <f>IF(A273&lt;0,'CAR PROMAX FILIAL CRUZ'!V267," ")</f>
        <v xml:space="preserve"> </v>
      </c>
    </row>
    <row r="274" spans="1:18" x14ac:dyDescent="0.25">
      <c r="A274">
        <f>'CAR PROMAX FILIAL CRUZ'!O268</f>
        <v>0</v>
      </c>
      <c r="B274" s="33" t="str">
        <f t="shared" si="11"/>
        <v xml:space="preserve"> </v>
      </c>
      <c r="C274" s="33" t="str">
        <f t="shared" si="10"/>
        <v xml:space="preserve"> </v>
      </c>
      <c r="D274" s="34" t="str">
        <f>IF(A274&lt;0,'CAR PROMAX FILIAL CRUZ'!B268," ")</f>
        <v xml:space="preserve"> </v>
      </c>
      <c r="E274" s="35" t="str">
        <f>IF(A274&lt;0,'CAR PROMAX FILIAL CRUZ'!C268," ")</f>
        <v xml:space="preserve"> </v>
      </c>
      <c r="F274" s="34" t="str">
        <f>IF(A274&lt;0,'CAR PROMAX FILIAL CRUZ'!D268," ")</f>
        <v xml:space="preserve"> </v>
      </c>
      <c r="G274" s="34" t="str">
        <f>IF(A274&lt;0,'CAR PROMAX FILIAL CRUZ'!E268," ")</f>
        <v xml:space="preserve"> </v>
      </c>
      <c r="H274" s="34" t="str">
        <f>IF(A274&lt;0,'CAR PROMAX FILIAL CRUZ'!J268," ")</f>
        <v xml:space="preserve"> </v>
      </c>
      <c r="I274" s="34"/>
      <c r="J274" s="34"/>
      <c r="K274" s="34" t="str">
        <f>IF(A274&lt;0,'CAR PROMAX FILIAL CRUZ'!O268," ")</f>
        <v xml:space="preserve"> </v>
      </c>
      <c r="L274" s="36" t="str">
        <f>IF(A274&lt;0,'CAR PROMAX FILIAL CRUZ'!P268," ")</f>
        <v xml:space="preserve"> </v>
      </c>
      <c r="M274" s="36" t="str">
        <f>IF(A274&lt;0,'CAR PROMAX FILIAL CRUZ'!Q268," ")</f>
        <v xml:space="preserve"> </v>
      </c>
      <c r="N274" s="36" t="str">
        <f>IF(A274&lt;0,'CAR PROMAX FILIAL CRUZ'!R268," ")</f>
        <v xml:space="preserve"> </v>
      </c>
      <c r="O274" s="37" t="str">
        <f>IF(A274&lt;0,'CAR PROMAX FILIAL CRUZ'!S268," ")</f>
        <v xml:space="preserve"> </v>
      </c>
      <c r="P274" s="37" t="str">
        <f>IF(A274&lt;0,'CAR PROMAX FILIAL CRUZ'!T268," ")</f>
        <v xml:space="preserve"> </v>
      </c>
      <c r="Q274" s="37" t="str">
        <f>IF(A274&lt;0,'CAR PROMAX FILIAL CRUZ'!U268," ")</f>
        <v xml:space="preserve"> </v>
      </c>
      <c r="R274" s="34" t="str">
        <f>IF(A274&lt;0,'CAR PROMAX FILIAL CRUZ'!V268," ")</f>
        <v xml:space="preserve"> </v>
      </c>
    </row>
    <row r="275" spans="1:18" x14ac:dyDescent="0.25">
      <c r="A275">
        <f>'CAR PROMAX FILIAL CRUZ'!O269</f>
        <v>0</v>
      </c>
      <c r="B275" s="33" t="str">
        <f t="shared" si="11"/>
        <v xml:space="preserve"> </v>
      </c>
      <c r="C275" s="33" t="str">
        <f t="shared" si="10"/>
        <v xml:space="preserve"> </v>
      </c>
      <c r="D275" s="34" t="str">
        <f>IF(A275&lt;0,'CAR PROMAX FILIAL CRUZ'!B269," ")</f>
        <v xml:space="preserve"> </v>
      </c>
      <c r="E275" s="35" t="str">
        <f>IF(A275&lt;0,'CAR PROMAX FILIAL CRUZ'!C269," ")</f>
        <v xml:space="preserve"> </v>
      </c>
      <c r="F275" s="34" t="str">
        <f>IF(A275&lt;0,'CAR PROMAX FILIAL CRUZ'!D269," ")</f>
        <v xml:space="preserve"> </v>
      </c>
      <c r="G275" s="34" t="str">
        <f>IF(A275&lt;0,'CAR PROMAX FILIAL CRUZ'!E269," ")</f>
        <v xml:space="preserve"> </v>
      </c>
      <c r="H275" s="34" t="str">
        <f>IF(A275&lt;0,'CAR PROMAX FILIAL CRUZ'!J269," ")</f>
        <v xml:space="preserve"> </v>
      </c>
      <c r="I275" s="34"/>
      <c r="J275" s="34"/>
      <c r="K275" s="34" t="str">
        <f>IF(A275&lt;0,'CAR PROMAX FILIAL CRUZ'!O269," ")</f>
        <v xml:space="preserve"> </v>
      </c>
      <c r="L275" s="36" t="str">
        <f>IF(A275&lt;0,'CAR PROMAX FILIAL CRUZ'!P269," ")</f>
        <v xml:space="preserve"> </v>
      </c>
      <c r="M275" s="36" t="str">
        <f>IF(A275&lt;0,'CAR PROMAX FILIAL CRUZ'!Q269," ")</f>
        <v xml:space="preserve"> </v>
      </c>
      <c r="N275" s="36" t="str">
        <f>IF(A275&lt;0,'CAR PROMAX FILIAL CRUZ'!R269," ")</f>
        <v xml:space="preserve"> </v>
      </c>
      <c r="O275" s="37" t="str">
        <f>IF(A275&lt;0,'CAR PROMAX FILIAL CRUZ'!S269," ")</f>
        <v xml:space="preserve"> </v>
      </c>
      <c r="P275" s="37" t="str">
        <f>IF(A275&lt;0,'CAR PROMAX FILIAL CRUZ'!T269," ")</f>
        <v xml:space="preserve"> </v>
      </c>
      <c r="Q275" s="37" t="str">
        <f>IF(A275&lt;0,'CAR PROMAX FILIAL CRUZ'!U269," ")</f>
        <v xml:space="preserve"> </v>
      </c>
      <c r="R275" s="34" t="str">
        <f>IF(A275&lt;0,'CAR PROMAX FILIAL CRUZ'!V269," ")</f>
        <v xml:space="preserve"> </v>
      </c>
    </row>
    <row r="276" spans="1:18" x14ac:dyDescent="0.25">
      <c r="A276">
        <f>'CAR PROMAX FILIAL CRUZ'!O270</f>
        <v>0</v>
      </c>
      <c r="B276" s="33" t="str">
        <f t="shared" si="11"/>
        <v xml:space="preserve"> </v>
      </c>
      <c r="C276" s="33" t="str">
        <f t="shared" si="10"/>
        <v xml:space="preserve"> </v>
      </c>
      <c r="D276" s="34" t="str">
        <f>IF(A276&lt;0,'CAR PROMAX FILIAL CRUZ'!B270," ")</f>
        <v xml:space="preserve"> </v>
      </c>
      <c r="E276" s="35" t="str">
        <f>IF(A276&lt;0,'CAR PROMAX FILIAL CRUZ'!C270," ")</f>
        <v xml:space="preserve"> </v>
      </c>
      <c r="F276" s="34" t="str">
        <f>IF(A276&lt;0,'CAR PROMAX FILIAL CRUZ'!D270," ")</f>
        <v xml:space="preserve"> </v>
      </c>
      <c r="G276" s="34" t="str">
        <f>IF(A276&lt;0,'CAR PROMAX FILIAL CRUZ'!E270," ")</f>
        <v xml:space="preserve"> </v>
      </c>
      <c r="H276" s="34" t="str">
        <f>IF(A276&lt;0,'CAR PROMAX FILIAL CRUZ'!J270," ")</f>
        <v xml:space="preserve"> </v>
      </c>
      <c r="I276" s="34"/>
      <c r="J276" s="34"/>
      <c r="K276" s="34" t="str">
        <f>IF(A276&lt;0,'CAR PROMAX FILIAL CRUZ'!O270," ")</f>
        <v xml:space="preserve"> </v>
      </c>
      <c r="L276" s="36" t="str">
        <f>IF(A276&lt;0,'CAR PROMAX FILIAL CRUZ'!P270," ")</f>
        <v xml:space="preserve"> </v>
      </c>
      <c r="M276" s="36" t="str">
        <f>IF(A276&lt;0,'CAR PROMAX FILIAL CRUZ'!Q270," ")</f>
        <v xml:space="preserve"> </v>
      </c>
      <c r="N276" s="36" t="str">
        <f>IF(A276&lt;0,'CAR PROMAX FILIAL CRUZ'!R270," ")</f>
        <v xml:space="preserve"> </v>
      </c>
      <c r="O276" s="37" t="str">
        <f>IF(A276&lt;0,'CAR PROMAX FILIAL CRUZ'!S270," ")</f>
        <v xml:space="preserve"> </v>
      </c>
      <c r="P276" s="37" t="str">
        <f>IF(A276&lt;0,'CAR PROMAX FILIAL CRUZ'!T270," ")</f>
        <v xml:space="preserve"> </v>
      </c>
      <c r="Q276" s="37" t="str">
        <f>IF(A276&lt;0,'CAR PROMAX FILIAL CRUZ'!U270," ")</f>
        <v xml:space="preserve"> </v>
      </c>
      <c r="R276" s="34" t="str">
        <f>IF(A276&lt;0,'CAR PROMAX FILIAL CRUZ'!V270," ")</f>
        <v xml:space="preserve"> </v>
      </c>
    </row>
    <row r="277" spans="1:18" x14ac:dyDescent="0.25">
      <c r="A277">
        <f>'CAR PROMAX FILIAL CRUZ'!O271</f>
        <v>0</v>
      </c>
      <c r="B277" s="33" t="str">
        <f t="shared" si="11"/>
        <v xml:space="preserve"> </v>
      </c>
      <c r="C277" s="33" t="str">
        <f t="shared" si="10"/>
        <v xml:space="preserve"> </v>
      </c>
      <c r="D277" s="34" t="str">
        <f>IF(A277&lt;0,'CAR PROMAX FILIAL CRUZ'!B271," ")</f>
        <v xml:space="preserve"> </v>
      </c>
      <c r="E277" s="35" t="str">
        <f>IF(A277&lt;0,'CAR PROMAX FILIAL CRUZ'!C271," ")</f>
        <v xml:space="preserve"> </v>
      </c>
      <c r="F277" s="34" t="str">
        <f>IF(A277&lt;0,'CAR PROMAX FILIAL CRUZ'!D271," ")</f>
        <v xml:space="preserve"> </v>
      </c>
      <c r="G277" s="34" t="str">
        <f>IF(A277&lt;0,'CAR PROMAX FILIAL CRUZ'!E271," ")</f>
        <v xml:space="preserve"> </v>
      </c>
      <c r="H277" s="34" t="str">
        <f>IF(A277&lt;0,'CAR PROMAX FILIAL CRUZ'!J271," ")</f>
        <v xml:space="preserve"> </v>
      </c>
      <c r="I277" s="34"/>
      <c r="J277" s="34"/>
      <c r="K277" s="34" t="str">
        <f>IF(A277&lt;0,'CAR PROMAX FILIAL CRUZ'!O271," ")</f>
        <v xml:space="preserve"> </v>
      </c>
      <c r="L277" s="36" t="str">
        <f>IF(A277&lt;0,'CAR PROMAX FILIAL CRUZ'!P271," ")</f>
        <v xml:space="preserve"> </v>
      </c>
      <c r="M277" s="36" t="str">
        <f>IF(A277&lt;0,'CAR PROMAX FILIAL CRUZ'!Q271," ")</f>
        <v xml:space="preserve"> </v>
      </c>
      <c r="N277" s="36" t="str">
        <f>IF(A277&lt;0,'CAR PROMAX FILIAL CRUZ'!R271," ")</f>
        <v xml:space="preserve"> </v>
      </c>
      <c r="O277" s="37" t="str">
        <f>IF(A277&lt;0,'CAR PROMAX FILIAL CRUZ'!S271," ")</f>
        <v xml:space="preserve"> </v>
      </c>
      <c r="P277" s="37" t="str">
        <f>IF(A277&lt;0,'CAR PROMAX FILIAL CRUZ'!T271," ")</f>
        <v xml:space="preserve"> </v>
      </c>
      <c r="Q277" s="37" t="str">
        <f>IF(A277&lt;0,'CAR PROMAX FILIAL CRUZ'!U271," ")</f>
        <v xml:space="preserve"> </v>
      </c>
      <c r="R277" s="34" t="str">
        <f>IF(A277&lt;0,'CAR PROMAX FILIAL CRUZ'!V271," ")</f>
        <v xml:space="preserve"> </v>
      </c>
    </row>
    <row r="278" spans="1:18" x14ac:dyDescent="0.25">
      <c r="A278">
        <f>'CAR PROMAX FILIAL CRUZ'!O272</f>
        <v>0</v>
      </c>
      <c r="B278" s="33" t="str">
        <f t="shared" si="11"/>
        <v xml:space="preserve"> </v>
      </c>
      <c r="C278" s="33" t="str">
        <f t="shared" si="10"/>
        <v xml:space="preserve"> </v>
      </c>
      <c r="D278" s="34" t="str">
        <f>IF(A278&lt;0,'CAR PROMAX FILIAL CRUZ'!B272," ")</f>
        <v xml:space="preserve"> </v>
      </c>
      <c r="E278" s="35" t="str">
        <f>IF(A278&lt;0,'CAR PROMAX FILIAL CRUZ'!C272," ")</f>
        <v xml:space="preserve"> </v>
      </c>
      <c r="F278" s="34" t="str">
        <f>IF(A278&lt;0,'CAR PROMAX FILIAL CRUZ'!D272," ")</f>
        <v xml:space="preserve"> </v>
      </c>
      <c r="G278" s="34" t="str">
        <f>IF(A278&lt;0,'CAR PROMAX FILIAL CRUZ'!E272," ")</f>
        <v xml:space="preserve"> </v>
      </c>
      <c r="H278" s="34" t="str">
        <f>IF(A278&lt;0,'CAR PROMAX FILIAL CRUZ'!J272," ")</f>
        <v xml:space="preserve"> </v>
      </c>
      <c r="I278" s="34"/>
      <c r="J278" s="34"/>
      <c r="K278" s="34" t="str">
        <f>IF(A278&lt;0,'CAR PROMAX FILIAL CRUZ'!O272," ")</f>
        <v xml:space="preserve"> </v>
      </c>
      <c r="L278" s="36" t="str">
        <f>IF(A278&lt;0,'CAR PROMAX FILIAL CRUZ'!P272," ")</f>
        <v xml:space="preserve"> </v>
      </c>
      <c r="M278" s="36" t="str">
        <f>IF(A278&lt;0,'CAR PROMAX FILIAL CRUZ'!Q272," ")</f>
        <v xml:space="preserve"> </v>
      </c>
      <c r="N278" s="36" t="str">
        <f>IF(A278&lt;0,'CAR PROMAX FILIAL CRUZ'!R272," ")</f>
        <v xml:space="preserve"> </v>
      </c>
      <c r="O278" s="37" t="str">
        <f>IF(A278&lt;0,'CAR PROMAX FILIAL CRUZ'!S272," ")</f>
        <v xml:space="preserve"> </v>
      </c>
      <c r="P278" s="37" t="str">
        <f>IF(A278&lt;0,'CAR PROMAX FILIAL CRUZ'!T272," ")</f>
        <v xml:space="preserve"> </v>
      </c>
      <c r="Q278" s="37" t="str">
        <f>IF(A278&lt;0,'CAR PROMAX FILIAL CRUZ'!U272," ")</f>
        <v xml:space="preserve"> </v>
      </c>
      <c r="R278" s="34" t="str">
        <f>IF(A278&lt;0,'CAR PROMAX FILIAL CRUZ'!V272," ")</f>
        <v xml:space="preserve"> </v>
      </c>
    </row>
    <row r="279" spans="1:18" x14ac:dyDescent="0.25">
      <c r="A279">
        <f>'CAR PROMAX FILIAL CRUZ'!O273</f>
        <v>0</v>
      </c>
      <c r="B279" s="33" t="str">
        <f t="shared" si="11"/>
        <v xml:space="preserve"> </v>
      </c>
      <c r="C279" s="33" t="str">
        <f t="shared" si="10"/>
        <v xml:space="preserve"> </v>
      </c>
      <c r="D279" s="34" t="str">
        <f>IF(A279&lt;0,'CAR PROMAX FILIAL CRUZ'!B273," ")</f>
        <v xml:space="preserve"> </v>
      </c>
      <c r="E279" s="35" t="str">
        <f>IF(A279&lt;0,'CAR PROMAX FILIAL CRUZ'!C273," ")</f>
        <v xml:space="preserve"> </v>
      </c>
      <c r="F279" s="34" t="str">
        <f>IF(A279&lt;0,'CAR PROMAX FILIAL CRUZ'!D273," ")</f>
        <v xml:space="preserve"> </v>
      </c>
      <c r="G279" s="34" t="str">
        <f>IF(A279&lt;0,'CAR PROMAX FILIAL CRUZ'!E273," ")</f>
        <v xml:space="preserve"> </v>
      </c>
      <c r="H279" s="34" t="str">
        <f>IF(A279&lt;0,'CAR PROMAX FILIAL CRUZ'!J273," ")</f>
        <v xml:space="preserve"> </v>
      </c>
      <c r="I279" s="34"/>
      <c r="J279" s="34"/>
      <c r="K279" s="34" t="str">
        <f>IF(A279&lt;0,'CAR PROMAX FILIAL CRUZ'!O273," ")</f>
        <v xml:space="preserve"> </v>
      </c>
      <c r="L279" s="36" t="str">
        <f>IF(A279&lt;0,'CAR PROMAX FILIAL CRUZ'!P273," ")</f>
        <v xml:space="preserve"> </v>
      </c>
      <c r="M279" s="36" t="str">
        <f>IF(A279&lt;0,'CAR PROMAX FILIAL CRUZ'!Q273," ")</f>
        <v xml:space="preserve"> </v>
      </c>
      <c r="N279" s="36" t="str">
        <f>IF(A279&lt;0,'CAR PROMAX FILIAL CRUZ'!R273," ")</f>
        <v xml:space="preserve"> </v>
      </c>
      <c r="O279" s="37" t="str">
        <f>IF(A279&lt;0,'CAR PROMAX FILIAL CRUZ'!S273," ")</f>
        <v xml:space="preserve"> </v>
      </c>
      <c r="P279" s="37" t="str">
        <f>IF(A279&lt;0,'CAR PROMAX FILIAL CRUZ'!T273," ")</f>
        <v xml:space="preserve"> </v>
      </c>
      <c r="Q279" s="37" t="str">
        <f>IF(A279&lt;0,'CAR PROMAX FILIAL CRUZ'!U273," ")</f>
        <v xml:space="preserve"> </v>
      </c>
      <c r="R279" s="34" t="str">
        <f>IF(A279&lt;0,'CAR PROMAX FILIAL CRUZ'!V273," ")</f>
        <v xml:space="preserve"> </v>
      </c>
    </row>
    <row r="280" spans="1:18" x14ac:dyDescent="0.25">
      <c r="A280">
        <f>'CAR PROMAX FILIAL CRUZ'!O274</f>
        <v>0</v>
      </c>
      <c r="B280" s="33" t="str">
        <f t="shared" si="11"/>
        <v xml:space="preserve"> </v>
      </c>
      <c r="C280" s="33" t="str">
        <f t="shared" si="10"/>
        <v xml:space="preserve"> </v>
      </c>
      <c r="D280" s="34" t="str">
        <f>IF(A280&lt;0,'CAR PROMAX FILIAL CRUZ'!B274," ")</f>
        <v xml:space="preserve"> </v>
      </c>
      <c r="E280" s="35" t="str">
        <f>IF(A280&lt;0,'CAR PROMAX FILIAL CRUZ'!C274," ")</f>
        <v xml:space="preserve"> </v>
      </c>
      <c r="F280" s="34" t="str">
        <f>IF(A280&lt;0,'CAR PROMAX FILIAL CRUZ'!D274," ")</f>
        <v xml:space="preserve"> </v>
      </c>
      <c r="G280" s="34" t="str">
        <f>IF(A280&lt;0,'CAR PROMAX FILIAL CRUZ'!E274," ")</f>
        <v xml:space="preserve"> </v>
      </c>
      <c r="H280" s="34" t="str">
        <f>IF(A280&lt;0,'CAR PROMAX FILIAL CRUZ'!J274," ")</f>
        <v xml:space="preserve"> </v>
      </c>
      <c r="I280" s="34"/>
      <c r="J280" s="34"/>
      <c r="K280" s="34" t="str">
        <f>IF(A280&lt;0,'CAR PROMAX FILIAL CRUZ'!O274," ")</f>
        <v xml:space="preserve"> </v>
      </c>
      <c r="L280" s="36" t="str">
        <f>IF(A280&lt;0,'CAR PROMAX FILIAL CRUZ'!P274," ")</f>
        <v xml:space="preserve"> </v>
      </c>
      <c r="M280" s="36" t="str">
        <f>IF(A280&lt;0,'CAR PROMAX FILIAL CRUZ'!Q274," ")</f>
        <v xml:space="preserve"> </v>
      </c>
      <c r="N280" s="36" t="str">
        <f>IF(A280&lt;0,'CAR PROMAX FILIAL CRUZ'!R274," ")</f>
        <v xml:space="preserve"> </v>
      </c>
      <c r="O280" s="37" t="str">
        <f>IF(A280&lt;0,'CAR PROMAX FILIAL CRUZ'!S274," ")</f>
        <v xml:space="preserve"> </v>
      </c>
      <c r="P280" s="37" t="str">
        <f>IF(A280&lt;0,'CAR PROMAX FILIAL CRUZ'!T274," ")</f>
        <v xml:space="preserve"> </v>
      </c>
      <c r="Q280" s="37" t="str">
        <f>IF(A280&lt;0,'CAR PROMAX FILIAL CRUZ'!U274," ")</f>
        <v xml:space="preserve"> </v>
      </c>
      <c r="R280" s="34" t="str">
        <f>IF(A280&lt;0,'CAR PROMAX FILIAL CRUZ'!V274," ")</f>
        <v xml:space="preserve"> </v>
      </c>
    </row>
    <row r="281" spans="1:18" x14ac:dyDescent="0.25">
      <c r="A281">
        <f>'CAR PROMAX FILIAL CRUZ'!O275</f>
        <v>0</v>
      </c>
      <c r="B281" s="33" t="str">
        <f t="shared" si="11"/>
        <v xml:space="preserve"> </v>
      </c>
      <c r="C281" s="33" t="str">
        <f t="shared" si="10"/>
        <v xml:space="preserve"> </v>
      </c>
      <c r="D281" s="34" t="str">
        <f>IF(A281&lt;0,'CAR PROMAX FILIAL CRUZ'!B275," ")</f>
        <v xml:space="preserve"> </v>
      </c>
      <c r="E281" s="35" t="str">
        <f>IF(A281&lt;0,'CAR PROMAX FILIAL CRUZ'!C275," ")</f>
        <v xml:space="preserve"> </v>
      </c>
      <c r="F281" s="34" t="str">
        <f>IF(A281&lt;0,'CAR PROMAX FILIAL CRUZ'!D275," ")</f>
        <v xml:space="preserve"> </v>
      </c>
      <c r="G281" s="34" t="str">
        <f>IF(A281&lt;0,'CAR PROMAX FILIAL CRUZ'!E275," ")</f>
        <v xml:space="preserve"> </v>
      </c>
      <c r="H281" s="34" t="str">
        <f>IF(A281&lt;0,'CAR PROMAX FILIAL CRUZ'!J275," ")</f>
        <v xml:space="preserve"> </v>
      </c>
      <c r="I281" s="34"/>
      <c r="J281" s="34"/>
      <c r="K281" s="34" t="str">
        <f>IF(A281&lt;0,'CAR PROMAX FILIAL CRUZ'!O275," ")</f>
        <v xml:space="preserve"> </v>
      </c>
      <c r="L281" s="36" t="str">
        <f>IF(A281&lt;0,'CAR PROMAX FILIAL CRUZ'!P275," ")</f>
        <v xml:space="preserve"> </v>
      </c>
      <c r="M281" s="36" t="str">
        <f>IF(A281&lt;0,'CAR PROMAX FILIAL CRUZ'!Q275," ")</f>
        <v xml:space="preserve"> </v>
      </c>
      <c r="N281" s="36" t="str">
        <f>IF(A281&lt;0,'CAR PROMAX FILIAL CRUZ'!R275," ")</f>
        <v xml:space="preserve"> </v>
      </c>
      <c r="O281" s="37" t="str">
        <f>IF(A281&lt;0,'CAR PROMAX FILIAL CRUZ'!S275," ")</f>
        <v xml:space="preserve"> </v>
      </c>
      <c r="P281" s="37" t="str">
        <f>IF(A281&lt;0,'CAR PROMAX FILIAL CRUZ'!T275," ")</f>
        <v xml:space="preserve"> </v>
      </c>
      <c r="Q281" s="37" t="str">
        <f>IF(A281&lt;0,'CAR PROMAX FILIAL CRUZ'!U275," ")</f>
        <v xml:space="preserve"> </v>
      </c>
      <c r="R281" s="34" t="str">
        <f>IF(A281&lt;0,'CAR PROMAX FILIAL CRUZ'!V275," ")</f>
        <v xml:space="preserve"> </v>
      </c>
    </row>
    <row r="282" spans="1:18" x14ac:dyDescent="0.25">
      <c r="A282">
        <f>'CAR PROMAX FILIAL CRUZ'!O276</f>
        <v>0</v>
      </c>
      <c r="B282" s="33" t="str">
        <f t="shared" si="11"/>
        <v xml:space="preserve"> </v>
      </c>
      <c r="C282" s="33" t="str">
        <f t="shared" si="10"/>
        <v xml:space="preserve"> </v>
      </c>
      <c r="D282" s="34" t="str">
        <f>IF(A282&lt;0,'CAR PROMAX FILIAL CRUZ'!B276," ")</f>
        <v xml:space="preserve"> </v>
      </c>
      <c r="E282" s="35" t="str">
        <f>IF(A282&lt;0,'CAR PROMAX FILIAL CRUZ'!C276," ")</f>
        <v xml:space="preserve"> </v>
      </c>
      <c r="F282" s="34" t="str">
        <f>IF(A282&lt;0,'CAR PROMAX FILIAL CRUZ'!D276," ")</f>
        <v xml:space="preserve"> </v>
      </c>
      <c r="G282" s="34" t="str">
        <f>IF(A282&lt;0,'CAR PROMAX FILIAL CRUZ'!E276," ")</f>
        <v xml:space="preserve"> </v>
      </c>
      <c r="H282" s="34" t="str">
        <f>IF(A282&lt;0,'CAR PROMAX FILIAL CRUZ'!J276," ")</f>
        <v xml:space="preserve"> </v>
      </c>
      <c r="I282" s="34"/>
      <c r="J282" s="34"/>
      <c r="K282" s="34" t="str">
        <f>IF(A282&lt;0,'CAR PROMAX FILIAL CRUZ'!O276," ")</f>
        <v xml:space="preserve"> </v>
      </c>
      <c r="L282" s="36" t="str">
        <f>IF(A282&lt;0,'CAR PROMAX FILIAL CRUZ'!P276," ")</f>
        <v xml:space="preserve"> </v>
      </c>
      <c r="M282" s="36" t="str">
        <f>IF(A282&lt;0,'CAR PROMAX FILIAL CRUZ'!Q276," ")</f>
        <v xml:space="preserve"> </v>
      </c>
      <c r="N282" s="36" t="str">
        <f>IF(A282&lt;0,'CAR PROMAX FILIAL CRUZ'!R276," ")</f>
        <v xml:space="preserve"> </v>
      </c>
      <c r="O282" s="37" t="str">
        <f>IF(A282&lt;0,'CAR PROMAX FILIAL CRUZ'!S276," ")</f>
        <v xml:space="preserve"> </v>
      </c>
      <c r="P282" s="37" t="str">
        <f>IF(A282&lt;0,'CAR PROMAX FILIAL CRUZ'!T276," ")</f>
        <v xml:space="preserve"> </v>
      </c>
      <c r="Q282" s="37" t="str">
        <f>IF(A282&lt;0,'CAR PROMAX FILIAL CRUZ'!U276," ")</f>
        <v xml:space="preserve"> </v>
      </c>
      <c r="R282" s="34" t="str">
        <f>IF(A282&lt;0,'CAR PROMAX FILIAL CRUZ'!V276," ")</f>
        <v xml:space="preserve"> </v>
      </c>
    </row>
    <row r="283" spans="1:18" x14ac:dyDescent="0.25">
      <c r="A283">
        <f>'CAR PROMAX FILIAL CRUZ'!O277</f>
        <v>0</v>
      </c>
      <c r="B283" s="33" t="str">
        <f t="shared" si="11"/>
        <v xml:space="preserve"> </v>
      </c>
      <c r="C283" s="33" t="str">
        <f t="shared" si="10"/>
        <v xml:space="preserve"> </v>
      </c>
      <c r="D283" s="34" t="str">
        <f>IF(A283&lt;0,'CAR PROMAX FILIAL CRUZ'!B277," ")</f>
        <v xml:space="preserve"> </v>
      </c>
      <c r="E283" s="35" t="str">
        <f>IF(A283&lt;0,'CAR PROMAX FILIAL CRUZ'!C277," ")</f>
        <v xml:space="preserve"> </v>
      </c>
      <c r="F283" s="34" t="str">
        <f>IF(A283&lt;0,'CAR PROMAX FILIAL CRUZ'!D277," ")</f>
        <v xml:space="preserve"> </v>
      </c>
      <c r="G283" s="34" t="str">
        <f>IF(A283&lt;0,'CAR PROMAX FILIAL CRUZ'!E277," ")</f>
        <v xml:space="preserve"> </v>
      </c>
      <c r="H283" s="34" t="str">
        <f>IF(A283&lt;0,'CAR PROMAX FILIAL CRUZ'!J277," ")</f>
        <v xml:space="preserve"> </v>
      </c>
      <c r="I283" s="34"/>
      <c r="J283" s="34"/>
      <c r="K283" s="34" t="str">
        <f>IF(A283&lt;0,'CAR PROMAX FILIAL CRUZ'!O277," ")</f>
        <v xml:space="preserve"> </v>
      </c>
      <c r="L283" s="36" t="str">
        <f>IF(A283&lt;0,'CAR PROMAX FILIAL CRUZ'!P277," ")</f>
        <v xml:space="preserve"> </v>
      </c>
      <c r="M283" s="36" t="str">
        <f>IF(A283&lt;0,'CAR PROMAX FILIAL CRUZ'!Q277," ")</f>
        <v xml:space="preserve"> </v>
      </c>
      <c r="N283" s="36" t="str">
        <f>IF(A283&lt;0,'CAR PROMAX FILIAL CRUZ'!R277," ")</f>
        <v xml:space="preserve"> </v>
      </c>
      <c r="O283" s="37" t="str">
        <f>IF(A283&lt;0,'CAR PROMAX FILIAL CRUZ'!S277," ")</f>
        <v xml:space="preserve"> </v>
      </c>
      <c r="P283" s="37" t="str">
        <f>IF(A283&lt;0,'CAR PROMAX FILIAL CRUZ'!T277," ")</f>
        <v xml:space="preserve"> </v>
      </c>
      <c r="Q283" s="37" t="str">
        <f>IF(A283&lt;0,'CAR PROMAX FILIAL CRUZ'!U277," ")</f>
        <v xml:space="preserve"> </v>
      </c>
      <c r="R283" s="34" t="str">
        <f>IF(A283&lt;0,'CAR PROMAX FILIAL CRUZ'!V277," ")</f>
        <v xml:space="preserve"> </v>
      </c>
    </row>
    <row r="284" spans="1:18" x14ac:dyDescent="0.25">
      <c r="A284">
        <f>'CAR PROMAX FILIAL CRUZ'!O278</f>
        <v>0</v>
      </c>
      <c r="B284" s="33" t="str">
        <f t="shared" si="11"/>
        <v xml:space="preserve"> </v>
      </c>
      <c r="C284" s="33" t="str">
        <f t="shared" si="10"/>
        <v xml:space="preserve"> </v>
      </c>
      <c r="D284" s="34" t="str">
        <f>IF(A284&lt;0,'CAR PROMAX FILIAL CRUZ'!B278," ")</f>
        <v xml:space="preserve"> </v>
      </c>
      <c r="E284" s="35" t="str">
        <f>IF(A284&lt;0,'CAR PROMAX FILIAL CRUZ'!C278," ")</f>
        <v xml:space="preserve"> </v>
      </c>
      <c r="F284" s="34" t="str">
        <f>IF(A284&lt;0,'CAR PROMAX FILIAL CRUZ'!D278," ")</f>
        <v xml:space="preserve"> </v>
      </c>
      <c r="G284" s="34" t="str">
        <f>IF(A284&lt;0,'CAR PROMAX FILIAL CRUZ'!E278," ")</f>
        <v xml:space="preserve"> </v>
      </c>
      <c r="H284" s="34" t="str">
        <f>IF(A284&lt;0,'CAR PROMAX FILIAL CRUZ'!J278," ")</f>
        <v xml:space="preserve"> </v>
      </c>
      <c r="I284" s="34"/>
      <c r="J284" s="34"/>
      <c r="K284" s="34" t="str">
        <f>IF(A284&lt;0,'CAR PROMAX FILIAL CRUZ'!O278," ")</f>
        <v xml:space="preserve"> </v>
      </c>
      <c r="L284" s="36" t="str">
        <f>IF(A284&lt;0,'CAR PROMAX FILIAL CRUZ'!P278," ")</f>
        <v xml:space="preserve"> </v>
      </c>
      <c r="M284" s="36" t="str">
        <f>IF(A284&lt;0,'CAR PROMAX FILIAL CRUZ'!Q278," ")</f>
        <v xml:space="preserve"> </v>
      </c>
      <c r="N284" s="36" t="str">
        <f>IF(A284&lt;0,'CAR PROMAX FILIAL CRUZ'!R278," ")</f>
        <v xml:space="preserve"> </v>
      </c>
      <c r="O284" s="37" t="str">
        <f>IF(A284&lt;0,'CAR PROMAX FILIAL CRUZ'!S278," ")</f>
        <v xml:space="preserve"> </v>
      </c>
      <c r="P284" s="37" t="str">
        <f>IF(A284&lt;0,'CAR PROMAX FILIAL CRUZ'!T278," ")</f>
        <v xml:space="preserve"> </v>
      </c>
      <c r="Q284" s="37" t="str">
        <f>IF(A284&lt;0,'CAR PROMAX FILIAL CRUZ'!U278," ")</f>
        <v xml:space="preserve"> </v>
      </c>
      <c r="R284" s="34" t="str">
        <f>IF(A284&lt;0,'CAR PROMAX FILIAL CRUZ'!V278," ")</f>
        <v xml:space="preserve"> </v>
      </c>
    </row>
    <row r="285" spans="1:18" x14ac:dyDescent="0.25">
      <c r="A285">
        <f>'CAR PROMAX FILIAL CRUZ'!O279</f>
        <v>0</v>
      </c>
      <c r="B285" s="33" t="str">
        <f t="shared" si="11"/>
        <v xml:space="preserve"> </v>
      </c>
      <c r="C285" s="33" t="str">
        <f t="shared" si="10"/>
        <v xml:space="preserve"> </v>
      </c>
      <c r="D285" s="34" t="str">
        <f>IF(A285&lt;0,'CAR PROMAX FILIAL CRUZ'!B279," ")</f>
        <v xml:space="preserve"> </v>
      </c>
      <c r="E285" s="35" t="str">
        <f>IF(A285&lt;0,'CAR PROMAX FILIAL CRUZ'!C279," ")</f>
        <v xml:space="preserve"> </v>
      </c>
      <c r="F285" s="34" t="str">
        <f>IF(A285&lt;0,'CAR PROMAX FILIAL CRUZ'!D279," ")</f>
        <v xml:space="preserve"> </v>
      </c>
      <c r="G285" s="34" t="str">
        <f>IF(A285&lt;0,'CAR PROMAX FILIAL CRUZ'!E279," ")</f>
        <v xml:space="preserve"> </v>
      </c>
      <c r="H285" s="34" t="str">
        <f>IF(A285&lt;0,'CAR PROMAX FILIAL CRUZ'!J279," ")</f>
        <v xml:space="preserve"> </v>
      </c>
      <c r="I285" s="34"/>
      <c r="J285" s="34"/>
      <c r="K285" s="34" t="str">
        <f>IF(A285&lt;0,'CAR PROMAX FILIAL CRUZ'!O279," ")</f>
        <v xml:space="preserve"> </v>
      </c>
      <c r="L285" s="36" t="str">
        <f>IF(A285&lt;0,'CAR PROMAX FILIAL CRUZ'!P279," ")</f>
        <v xml:space="preserve"> </v>
      </c>
      <c r="M285" s="36" t="str">
        <f>IF(A285&lt;0,'CAR PROMAX FILIAL CRUZ'!Q279," ")</f>
        <v xml:space="preserve"> </v>
      </c>
      <c r="N285" s="36" t="str">
        <f>IF(A285&lt;0,'CAR PROMAX FILIAL CRUZ'!R279," ")</f>
        <v xml:space="preserve"> </v>
      </c>
      <c r="O285" s="37" t="str">
        <f>IF(A285&lt;0,'CAR PROMAX FILIAL CRUZ'!S279," ")</f>
        <v xml:space="preserve"> </v>
      </c>
      <c r="P285" s="37" t="str">
        <f>IF(A285&lt;0,'CAR PROMAX FILIAL CRUZ'!T279," ")</f>
        <v xml:space="preserve"> </v>
      </c>
      <c r="Q285" s="37" t="str">
        <f>IF(A285&lt;0,'CAR PROMAX FILIAL CRUZ'!U279," ")</f>
        <v xml:space="preserve"> </v>
      </c>
      <c r="R285" s="34" t="str">
        <f>IF(A285&lt;0,'CAR PROMAX FILIAL CRUZ'!V279," ")</f>
        <v xml:space="preserve"> </v>
      </c>
    </row>
    <row r="286" spans="1:18" x14ac:dyDescent="0.25">
      <c r="A286">
        <f>'CAR PROMAX FILIAL CRUZ'!O280</f>
        <v>0</v>
      </c>
      <c r="B286" s="33" t="str">
        <f t="shared" si="11"/>
        <v xml:space="preserve"> </v>
      </c>
      <c r="C286" s="33" t="str">
        <f t="shared" si="10"/>
        <v xml:space="preserve"> </v>
      </c>
      <c r="D286" s="34" t="str">
        <f>IF(A286&lt;0,'CAR PROMAX FILIAL CRUZ'!B280," ")</f>
        <v xml:space="preserve"> </v>
      </c>
      <c r="E286" s="35" t="str">
        <f>IF(A286&lt;0,'CAR PROMAX FILIAL CRUZ'!C280," ")</f>
        <v xml:space="preserve"> </v>
      </c>
      <c r="F286" s="34" t="str">
        <f>IF(A286&lt;0,'CAR PROMAX FILIAL CRUZ'!D280," ")</f>
        <v xml:space="preserve"> </v>
      </c>
      <c r="G286" s="34" t="str">
        <f>IF(A286&lt;0,'CAR PROMAX FILIAL CRUZ'!E280," ")</f>
        <v xml:space="preserve"> </v>
      </c>
      <c r="H286" s="34" t="str">
        <f>IF(A286&lt;0,'CAR PROMAX FILIAL CRUZ'!J280," ")</f>
        <v xml:space="preserve"> </v>
      </c>
      <c r="I286" s="34"/>
      <c r="J286" s="34"/>
      <c r="K286" s="34" t="str">
        <f>IF(A286&lt;0,'CAR PROMAX FILIAL CRUZ'!O280," ")</f>
        <v xml:space="preserve"> </v>
      </c>
      <c r="L286" s="36" t="str">
        <f>IF(A286&lt;0,'CAR PROMAX FILIAL CRUZ'!P280," ")</f>
        <v xml:space="preserve"> </v>
      </c>
      <c r="M286" s="36" t="str">
        <f>IF(A286&lt;0,'CAR PROMAX FILIAL CRUZ'!Q280," ")</f>
        <v xml:space="preserve"> </v>
      </c>
      <c r="N286" s="36" t="str">
        <f>IF(A286&lt;0,'CAR PROMAX FILIAL CRUZ'!R280," ")</f>
        <v xml:space="preserve"> </v>
      </c>
      <c r="O286" s="37" t="str">
        <f>IF(A286&lt;0,'CAR PROMAX FILIAL CRUZ'!S280," ")</f>
        <v xml:space="preserve"> </v>
      </c>
      <c r="P286" s="37" t="str">
        <f>IF(A286&lt;0,'CAR PROMAX FILIAL CRUZ'!T280," ")</f>
        <v xml:space="preserve"> </v>
      </c>
      <c r="Q286" s="37" t="str">
        <f>IF(A286&lt;0,'CAR PROMAX FILIAL CRUZ'!U280," ")</f>
        <v xml:space="preserve"> </v>
      </c>
      <c r="R286" s="34" t="str">
        <f>IF(A286&lt;0,'CAR PROMAX FILIAL CRUZ'!V280," ")</f>
        <v xml:space="preserve"> </v>
      </c>
    </row>
    <row r="287" spans="1:18" x14ac:dyDescent="0.25">
      <c r="A287">
        <f>'CAR PROMAX FILIAL CRUZ'!O281</f>
        <v>0</v>
      </c>
      <c r="B287" s="33" t="str">
        <f t="shared" si="11"/>
        <v xml:space="preserve"> </v>
      </c>
      <c r="C287" s="33" t="str">
        <f t="shared" si="10"/>
        <v xml:space="preserve"> </v>
      </c>
      <c r="D287" s="34" t="str">
        <f>IF(A287&lt;0,'CAR PROMAX FILIAL CRUZ'!B281," ")</f>
        <v xml:space="preserve"> </v>
      </c>
      <c r="E287" s="35" t="str">
        <f>IF(A287&lt;0,'CAR PROMAX FILIAL CRUZ'!C281," ")</f>
        <v xml:space="preserve"> </v>
      </c>
      <c r="F287" s="34" t="str">
        <f>IF(A287&lt;0,'CAR PROMAX FILIAL CRUZ'!D281," ")</f>
        <v xml:space="preserve"> </v>
      </c>
      <c r="G287" s="34" t="str">
        <f>IF(A287&lt;0,'CAR PROMAX FILIAL CRUZ'!E281," ")</f>
        <v xml:space="preserve"> </v>
      </c>
      <c r="H287" s="34" t="str">
        <f>IF(A287&lt;0,'CAR PROMAX FILIAL CRUZ'!J281," ")</f>
        <v xml:space="preserve"> </v>
      </c>
      <c r="I287" s="34"/>
      <c r="J287" s="34"/>
      <c r="K287" s="34" t="str">
        <f>IF(A287&lt;0,'CAR PROMAX FILIAL CRUZ'!O281," ")</f>
        <v xml:space="preserve"> </v>
      </c>
      <c r="L287" s="36" t="str">
        <f>IF(A287&lt;0,'CAR PROMAX FILIAL CRUZ'!P281," ")</f>
        <v xml:space="preserve"> </v>
      </c>
      <c r="M287" s="36" t="str">
        <f>IF(A287&lt;0,'CAR PROMAX FILIAL CRUZ'!Q281," ")</f>
        <v xml:space="preserve"> </v>
      </c>
      <c r="N287" s="36" t="str">
        <f>IF(A287&lt;0,'CAR PROMAX FILIAL CRUZ'!R281," ")</f>
        <v xml:space="preserve"> </v>
      </c>
      <c r="O287" s="37" t="str">
        <f>IF(A287&lt;0,'CAR PROMAX FILIAL CRUZ'!S281," ")</f>
        <v xml:space="preserve"> </v>
      </c>
      <c r="P287" s="37" t="str">
        <f>IF(A287&lt;0,'CAR PROMAX FILIAL CRUZ'!T281," ")</f>
        <v xml:space="preserve"> </v>
      </c>
      <c r="Q287" s="37" t="str">
        <f>IF(A287&lt;0,'CAR PROMAX FILIAL CRUZ'!U281," ")</f>
        <v xml:space="preserve"> </v>
      </c>
      <c r="R287" s="34" t="str">
        <f>IF(A287&lt;0,'CAR PROMAX FILIAL CRUZ'!V281," ")</f>
        <v xml:space="preserve"> </v>
      </c>
    </row>
    <row r="288" spans="1:18" x14ac:dyDescent="0.25">
      <c r="A288">
        <f>'CAR PROMAX FILIAL CRUZ'!O282</f>
        <v>0</v>
      </c>
      <c r="B288" s="33" t="str">
        <f t="shared" si="11"/>
        <v xml:space="preserve"> </v>
      </c>
      <c r="C288" s="33" t="str">
        <f t="shared" si="10"/>
        <v xml:space="preserve"> </v>
      </c>
      <c r="D288" s="34" t="str">
        <f>IF(A288&lt;0,'CAR PROMAX FILIAL CRUZ'!B282," ")</f>
        <v xml:space="preserve"> </v>
      </c>
      <c r="E288" s="35" t="str">
        <f>IF(A288&lt;0,'CAR PROMAX FILIAL CRUZ'!C282," ")</f>
        <v xml:space="preserve"> </v>
      </c>
      <c r="F288" s="34" t="str">
        <f>IF(A288&lt;0,'CAR PROMAX FILIAL CRUZ'!D282," ")</f>
        <v xml:space="preserve"> </v>
      </c>
      <c r="G288" s="34" t="str">
        <f>IF(A288&lt;0,'CAR PROMAX FILIAL CRUZ'!E282," ")</f>
        <v xml:space="preserve"> </v>
      </c>
      <c r="H288" s="34" t="str">
        <f>IF(A288&lt;0,'CAR PROMAX FILIAL CRUZ'!J282," ")</f>
        <v xml:space="preserve"> </v>
      </c>
      <c r="I288" s="34"/>
      <c r="J288" s="34"/>
      <c r="K288" s="34" t="str">
        <f>IF(A288&lt;0,'CAR PROMAX FILIAL CRUZ'!O282," ")</f>
        <v xml:space="preserve"> </v>
      </c>
      <c r="L288" s="36" t="str">
        <f>IF(A288&lt;0,'CAR PROMAX FILIAL CRUZ'!P282," ")</f>
        <v xml:space="preserve"> </v>
      </c>
      <c r="M288" s="36" t="str">
        <f>IF(A288&lt;0,'CAR PROMAX FILIAL CRUZ'!Q282," ")</f>
        <v xml:space="preserve"> </v>
      </c>
      <c r="N288" s="36" t="str">
        <f>IF(A288&lt;0,'CAR PROMAX FILIAL CRUZ'!R282," ")</f>
        <v xml:space="preserve"> </v>
      </c>
      <c r="O288" s="37" t="str">
        <f>IF(A288&lt;0,'CAR PROMAX FILIAL CRUZ'!S282," ")</f>
        <v xml:space="preserve"> </v>
      </c>
      <c r="P288" s="37" t="str">
        <f>IF(A288&lt;0,'CAR PROMAX FILIAL CRUZ'!T282," ")</f>
        <v xml:space="preserve"> </v>
      </c>
      <c r="Q288" s="37" t="str">
        <f>IF(A288&lt;0,'CAR PROMAX FILIAL CRUZ'!U282," ")</f>
        <v xml:space="preserve"> </v>
      </c>
      <c r="R288" s="34" t="str">
        <f>IF(A288&lt;0,'CAR PROMAX FILIAL CRUZ'!V282," ")</f>
        <v xml:space="preserve"> </v>
      </c>
    </row>
    <row r="289" spans="1:18" x14ac:dyDescent="0.25">
      <c r="A289">
        <f>'CAR PROMAX FILIAL CRUZ'!O283</f>
        <v>0</v>
      </c>
      <c r="B289" s="33" t="str">
        <f t="shared" si="11"/>
        <v xml:space="preserve"> </v>
      </c>
      <c r="C289" s="33" t="str">
        <f t="shared" si="10"/>
        <v xml:space="preserve"> </v>
      </c>
      <c r="D289" s="34" t="str">
        <f>IF(A289&lt;0,'CAR PROMAX FILIAL CRUZ'!B283," ")</f>
        <v xml:space="preserve"> </v>
      </c>
      <c r="E289" s="35" t="str">
        <f>IF(A289&lt;0,'CAR PROMAX FILIAL CRUZ'!C283," ")</f>
        <v xml:space="preserve"> </v>
      </c>
      <c r="F289" s="34" t="str">
        <f>IF(A289&lt;0,'CAR PROMAX FILIAL CRUZ'!D283," ")</f>
        <v xml:space="preserve"> </v>
      </c>
      <c r="G289" s="34" t="str">
        <f>IF(A289&lt;0,'CAR PROMAX FILIAL CRUZ'!E283," ")</f>
        <v xml:space="preserve"> </v>
      </c>
      <c r="H289" s="34" t="str">
        <f>IF(A289&lt;0,'CAR PROMAX FILIAL CRUZ'!J283," ")</f>
        <v xml:space="preserve"> </v>
      </c>
      <c r="I289" s="34"/>
      <c r="J289" s="34"/>
      <c r="K289" s="34" t="str">
        <f>IF(A289&lt;0,'CAR PROMAX FILIAL CRUZ'!O283," ")</f>
        <v xml:space="preserve"> </v>
      </c>
      <c r="L289" s="36" t="str">
        <f>IF(A289&lt;0,'CAR PROMAX FILIAL CRUZ'!P283," ")</f>
        <v xml:space="preserve"> </v>
      </c>
      <c r="M289" s="36" t="str">
        <f>IF(A289&lt;0,'CAR PROMAX FILIAL CRUZ'!Q283," ")</f>
        <v xml:space="preserve"> </v>
      </c>
      <c r="N289" s="36" t="str">
        <f>IF(A289&lt;0,'CAR PROMAX FILIAL CRUZ'!R283," ")</f>
        <v xml:space="preserve"> </v>
      </c>
      <c r="O289" s="37" t="str">
        <f>IF(A289&lt;0,'CAR PROMAX FILIAL CRUZ'!S283," ")</f>
        <v xml:space="preserve"> </v>
      </c>
      <c r="P289" s="37" t="str">
        <f>IF(A289&lt;0,'CAR PROMAX FILIAL CRUZ'!T283," ")</f>
        <v xml:space="preserve"> </v>
      </c>
      <c r="Q289" s="37" t="str">
        <f>IF(A289&lt;0,'CAR PROMAX FILIAL CRUZ'!U283," ")</f>
        <v xml:space="preserve"> </v>
      </c>
      <c r="R289" s="34" t="str">
        <f>IF(A289&lt;0,'CAR PROMAX FILIAL CRUZ'!V283," ")</f>
        <v xml:space="preserve"> </v>
      </c>
    </row>
    <row r="290" spans="1:18" x14ac:dyDescent="0.25">
      <c r="A290">
        <f>'CAR PROMAX FILIAL CRUZ'!O284</f>
        <v>0</v>
      </c>
      <c r="B290" s="33" t="str">
        <f t="shared" si="11"/>
        <v xml:space="preserve"> </v>
      </c>
      <c r="C290" s="33" t="str">
        <f t="shared" si="10"/>
        <v xml:space="preserve"> </v>
      </c>
      <c r="D290" s="34" t="str">
        <f>IF(A290&lt;0,'CAR PROMAX FILIAL CRUZ'!B284," ")</f>
        <v xml:space="preserve"> </v>
      </c>
      <c r="E290" s="35" t="str">
        <f>IF(A290&lt;0,'CAR PROMAX FILIAL CRUZ'!C284," ")</f>
        <v xml:space="preserve"> </v>
      </c>
      <c r="F290" s="34" t="str">
        <f>IF(A290&lt;0,'CAR PROMAX FILIAL CRUZ'!D284," ")</f>
        <v xml:space="preserve"> </v>
      </c>
      <c r="G290" s="34" t="str">
        <f>IF(A290&lt;0,'CAR PROMAX FILIAL CRUZ'!E284," ")</f>
        <v xml:space="preserve"> </v>
      </c>
      <c r="H290" s="34" t="str">
        <f>IF(A290&lt;0,'CAR PROMAX FILIAL CRUZ'!J284," ")</f>
        <v xml:space="preserve"> </v>
      </c>
      <c r="I290" s="34"/>
      <c r="J290" s="34"/>
      <c r="K290" s="34" t="str">
        <f>IF(A290&lt;0,'CAR PROMAX FILIAL CRUZ'!O284," ")</f>
        <v xml:space="preserve"> </v>
      </c>
      <c r="L290" s="36" t="str">
        <f>IF(A290&lt;0,'CAR PROMAX FILIAL CRUZ'!P284," ")</f>
        <v xml:space="preserve"> </v>
      </c>
      <c r="M290" s="36" t="str">
        <f>IF(A290&lt;0,'CAR PROMAX FILIAL CRUZ'!Q284," ")</f>
        <v xml:space="preserve"> </v>
      </c>
      <c r="N290" s="36" t="str">
        <f>IF(A290&lt;0,'CAR PROMAX FILIAL CRUZ'!R284," ")</f>
        <v xml:space="preserve"> </v>
      </c>
      <c r="O290" s="37" t="str">
        <f>IF(A290&lt;0,'CAR PROMAX FILIAL CRUZ'!S284," ")</f>
        <v xml:space="preserve"> </v>
      </c>
      <c r="P290" s="37" t="str">
        <f>IF(A290&lt;0,'CAR PROMAX FILIAL CRUZ'!T284," ")</f>
        <v xml:space="preserve"> </v>
      </c>
      <c r="Q290" s="37" t="str">
        <f>IF(A290&lt;0,'CAR PROMAX FILIAL CRUZ'!U284," ")</f>
        <v xml:space="preserve"> </v>
      </c>
      <c r="R290" s="34" t="str">
        <f>IF(A290&lt;0,'CAR PROMAX FILIAL CRUZ'!V284," ")</f>
        <v xml:space="preserve"> </v>
      </c>
    </row>
    <row r="291" spans="1:18" x14ac:dyDescent="0.25">
      <c r="A291">
        <f>'CAR PROMAX FILIAL CRUZ'!O285</f>
        <v>0</v>
      </c>
      <c r="B291" s="33" t="str">
        <f t="shared" si="11"/>
        <v xml:space="preserve"> </v>
      </c>
      <c r="C291" s="33" t="str">
        <f t="shared" si="10"/>
        <v xml:space="preserve"> </v>
      </c>
      <c r="D291" s="34" t="str">
        <f>IF(A291&lt;0,'CAR PROMAX FILIAL CRUZ'!B285," ")</f>
        <v xml:space="preserve"> </v>
      </c>
      <c r="E291" s="35" t="str">
        <f>IF(A291&lt;0,'CAR PROMAX FILIAL CRUZ'!C285," ")</f>
        <v xml:space="preserve"> </v>
      </c>
      <c r="F291" s="34" t="str">
        <f>IF(A291&lt;0,'CAR PROMAX FILIAL CRUZ'!D285," ")</f>
        <v xml:space="preserve"> </v>
      </c>
      <c r="G291" s="34" t="str">
        <f>IF(A291&lt;0,'CAR PROMAX FILIAL CRUZ'!E285," ")</f>
        <v xml:space="preserve"> </v>
      </c>
      <c r="H291" s="34" t="str">
        <f>IF(A291&lt;0,'CAR PROMAX FILIAL CRUZ'!J285," ")</f>
        <v xml:space="preserve"> </v>
      </c>
      <c r="I291" s="34"/>
      <c r="J291" s="34"/>
      <c r="K291" s="34" t="str">
        <f>IF(A291&lt;0,'CAR PROMAX FILIAL CRUZ'!O285," ")</f>
        <v xml:space="preserve"> </v>
      </c>
      <c r="L291" s="36" t="str">
        <f>IF(A291&lt;0,'CAR PROMAX FILIAL CRUZ'!P285," ")</f>
        <v xml:space="preserve"> </v>
      </c>
      <c r="M291" s="36" t="str">
        <f>IF(A291&lt;0,'CAR PROMAX FILIAL CRUZ'!Q285," ")</f>
        <v xml:space="preserve"> </v>
      </c>
      <c r="N291" s="36" t="str">
        <f>IF(A291&lt;0,'CAR PROMAX FILIAL CRUZ'!R285," ")</f>
        <v xml:space="preserve"> </v>
      </c>
      <c r="O291" s="37" t="str">
        <f>IF(A291&lt;0,'CAR PROMAX FILIAL CRUZ'!S285," ")</f>
        <v xml:space="preserve"> </v>
      </c>
      <c r="P291" s="37" t="str">
        <f>IF(A291&lt;0,'CAR PROMAX FILIAL CRUZ'!T285," ")</f>
        <v xml:space="preserve"> </v>
      </c>
      <c r="Q291" s="37" t="str">
        <f>IF(A291&lt;0,'CAR PROMAX FILIAL CRUZ'!U285," ")</f>
        <v xml:space="preserve"> </v>
      </c>
      <c r="R291" s="34" t="str">
        <f>IF(A291&lt;0,'CAR PROMAX FILIAL CRUZ'!V285," ")</f>
        <v xml:space="preserve"> </v>
      </c>
    </row>
    <row r="292" spans="1:18" x14ac:dyDescent="0.25">
      <c r="A292">
        <f>'CAR PROMAX FILIAL CRUZ'!O286</f>
        <v>0</v>
      </c>
      <c r="B292" s="33" t="str">
        <f t="shared" si="11"/>
        <v xml:space="preserve"> </v>
      </c>
      <c r="C292" s="33" t="str">
        <f t="shared" si="10"/>
        <v xml:space="preserve"> </v>
      </c>
      <c r="D292" s="34" t="str">
        <f>IF(A292&lt;0,'CAR PROMAX FILIAL CRUZ'!B286," ")</f>
        <v xml:space="preserve"> </v>
      </c>
      <c r="E292" s="35" t="str">
        <f>IF(A292&lt;0,'CAR PROMAX FILIAL CRUZ'!C286," ")</f>
        <v xml:space="preserve"> </v>
      </c>
      <c r="F292" s="34" t="str">
        <f>IF(A292&lt;0,'CAR PROMAX FILIAL CRUZ'!D286," ")</f>
        <v xml:space="preserve"> </v>
      </c>
      <c r="G292" s="34" t="str">
        <f>IF(A292&lt;0,'CAR PROMAX FILIAL CRUZ'!E286," ")</f>
        <v xml:space="preserve"> </v>
      </c>
      <c r="H292" s="34" t="str">
        <f>IF(A292&lt;0,'CAR PROMAX FILIAL CRUZ'!J286," ")</f>
        <v xml:space="preserve"> </v>
      </c>
      <c r="I292" s="34"/>
      <c r="J292" s="34"/>
      <c r="K292" s="34" t="str">
        <f>IF(A292&lt;0,'CAR PROMAX FILIAL CRUZ'!O286," ")</f>
        <v xml:space="preserve"> </v>
      </c>
      <c r="L292" s="36" t="str">
        <f>IF(A292&lt;0,'CAR PROMAX FILIAL CRUZ'!P286," ")</f>
        <v xml:space="preserve"> </v>
      </c>
      <c r="M292" s="36" t="str">
        <f>IF(A292&lt;0,'CAR PROMAX FILIAL CRUZ'!Q286," ")</f>
        <v xml:space="preserve"> </v>
      </c>
      <c r="N292" s="36" t="str">
        <f>IF(A292&lt;0,'CAR PROMAX FILIAL CRUZ'!R286," ")</f>
        <v xml:space="preserve"> </v>
      </c>
      <c r="O292" s="37" t="str">
        <f>IF(A292&lt;0,'CAR PROMAX FILIAL CRUZ'!S286," ")</f>
        <v xml:space="preserve"> </v>
      </c>
      <c r="P292" s="37" t="str">
        <f>IF(A292&lt;0,'CAR PROMAX FILIAL CRUZ'!T286," ")</f>
        <v xml:space="preserve"> </v>
      </c>
      <c r="Q292" s="37" t="str">
        <f>IF(A292&lt;0,'CAR PROMAX FILIAL CRUZ'!U286," ")</f>
        <v xml:space="preserve"> </v>
      </c>
      <c r="R292" s="34" t="str">
        <f>IF(A292&lt;0,'CAR PROMAX FILIAL CRUZ'!V286," ")</f>
        <v xml:space="preserve"> </v>
      </c>
    </row>
    <row r="293" spans="1:18" x14ac:dyDescent="0.25">
      <c r="A293">
        <f>'CAR PROMAX FILIAL CRUZ'!O287</f>
        <v>0</v>
      </c>
      <c r="B293" s="33" t="str">
        <f t="shared" si="11"/>
        <v xml:space="preserve"> </v>
      </c>
      <c r="C293" s="33" t="str">
        <f t="shared" si="10"/>
        <v xml:space="preserve"> </v>
      </c>
      <c r="D293" s="34" t="str">
        <f>IF(A293&lt;0,'CAR PROMAX FILIAL CRUZ'!B287," ")</f>
        <v xml:space="preserve"> </v>
      </c>
      <c r="E293" s="35" t="str">
        <f>IF(A293&lt;0,'CAR PROMAX FILIAL CRUZ'!C287," ")</f>
        <v xml:space="preserve"> </v>
      </c>
      <c r="F293" s="34" t="str">
        <f>IF(A293&lt;0,'CAR PROMAX FILIAL CRUZ'!D287," ")</f>
        <v xml:space="preserve"> </v>
      </c>
      <c r="G293" s="34" t="str">
        <f>IF(A293&lt;0,'CAR PROMAX FILIAL CRUZ'!E287," ")</f>
        <v xml:space="preserve"> </v>
      </c>
      <c r="H293" s="34" t="str">
        <f>IF(A293&lt;0,'CAR PROMAX FILIAL CRUZ'!J287," ")</f>
        <v xml:space="preserve"> </v>
      </c>
      <c r="I293" s="34"/>
      <c r="J293" s="34"/>
      <c r="K293" s="34" t="str">
        <f>IF(A293&lt;0,'CAR PROMAX FILIAL CRUZ'!O287," ")</f>
        <v xml:space="preserve"> </v>
      </c>
      <c r="L293" s="36" t="str">
        <f>IF(A293&lt;0,'CAR PROMAX FILIAL CRUZ'!P287," ")</f>
        <v xml:space="preserve"> </v>
      </c>
      <c r="M293" s="36" t="str">
        <f>IF(A293&lt;0,'CAR PROMAX FILIAL CRUZ'!Q287," ")</f>
        <v xml:space="preserve"> </v>
      </c>
      <c r="N293" s="36" t="str">
        <f>IF(A293&lt;0,'CAR PROMAX FILIAL CRUZ'!R287," ")</f>
        <v xml:space="preserve"> </v>
      </c>
      <c r="O293" s="37" t="str">
        <f>IF(A293&lt;0,'CAR PROMAX FILIAL CRUZ'!S287," ")</f>
        <v xml:space="preserve"> </v>
      </c>
      <c r="P293" s="37" t="str">
        <f>IF(A293&lt;0,'CAR PROMAX FILIAL CRUZ'!T287," ")</f>
        <v xml:space="preserve"> </v>
      </c>
      <c r="Q293" s="37" t="str">
        <f>IF(A293&lt;0,'CAR PROMAX FILIAL CRUZ'!U287," ")</f>
        <v xml:space="preserve"> </v>
      </c>
      <c r="R293" s="34" t="str">
        <f>IF(A293&lt;0,'CAR PROMAX FILIAL CRUZ'!V287," ")</f>
        <v xml:space="preserve"> </v>
      </c>
    </row>
    <row r="294" spans="1:18" x14ac:dyDescent="0.25">
      <c r="A294">
        <f>'CAR PROMAX FILIAL CRUZ'!O288</f>
        <v>0</v>
      </c>
      <c r="B294" s="33" t="str">
        <f t="shared" si="11"/>
        <v xml:space="preserve"> </v>
      </c>
      <c r="C294" s="33" t="str">
        <f t="shared" si="10"/>
        <v xml:space="preserve"> </v>
      </c>
      <c r="D294" s="34" t="str">
        <f>IF(A294&lt;0,'CAR PROMAX FILIAL CRUZ'!B288," ")</f>
        <v xml:space="preserve"> </v>
      </c>
      <c r="E294" s="35" t="str">
        <f>IF(A294&lt;0,'CAR PROMAX FILIAL CRUZ'!C288," ")</f>
        <v xml:space="preserve"> </v>
      </c>
      <c r="F294" s="34" t="str">
        <f>IF(A294&lt;0,'CAR PROMAX FILIAL CRUZ'!D288," ")</f>
        <v xml:space="preserve"> </v>
      </c>
      <c r="G294" s="34" t="str">
        <f>IF(A294&lt;0,'CAR PROMAX FILIAL CRUZ'!E288," ")</f>
        <v xml:space="preserve"> </v>
      </c>
      <c r="H294" s="34" t="str">
        <f>IF(A294&lt;0,'CAR PROMAX FILIAL CRUZ'!J288," ")</f>
        <v xml:space="preserve"> </v>
      </c>
      <c r="I294" s="34"/>
      <c r="J294" s="34"/>
      <c r="K294" s="34" t="str">
        <f>IF(A294&lt;0,'CAR PROMAX FILIAL CRUZ'!O288," ")</f>
        <v xml:space="preserve"> </v>
      </c>
      <c r="L294" s="36" t="str">
        <f>IF(A294&lt;0,'CAR PROMAX FILIAL CRUZ'!P288," ")</f>
        <v xml:space="preserve"> </v>
      </c>
      <c r="M294" s="36" t="str">
        <f>IF(A294&lt;0,'CAR PROMAX FILIAL CRUZ'!Q288," ")</f>
        <v xml:space="preserve"> </v>
      </c>
      <c r="N294" s="36" t="str">
        <f>IF(A294&lt;0,'CAR PROMAX FILIAL CRUZ'!R288," ")</f>
        <v xml:space="preserve"> </v>
      </c>
      <c r="O294" s="37" t="str">
        <f>IF(A294&lt;0,'CAR PROMAX FILIAL CRUZ'!S288," ")</f>
        <v xml:space="preserve"> </v>
      </c>
      <c r="P294" s="37" t="str">
        <f>IF(A294&lt;0,'CAR PROMAX FILIAL CRUZ'!T288," ")</f>
        <v xml:space="preserve"> </v>
      </c>
      <c r="Q294" s="37" t="str">
        <f>IF(A294&lt;0,'CAR PROMAX FILIAL CRUZ'!U288," ")</f>
        <v xml:space="preserve"> </v>
      </c>
      <c r="R294" s="34" t="str">
        <f>IF(A294&lt;0,'CAR PROMAX FILIAL CRUZ'!V288," ")</f>
        <v xml:space="preserve"> </v>
      </c>
    </row>
    <row r="295" spans="1:18" x14ac:dyDescent="0.25">
      <c r="A295">
        <f>'CAR PROMAX FILIAL CRUZ'!O289</f>
        <v>0</v>
      </c>
      <c r="B295" s="33" t="str">
        <f t="shared" si="11"/>
        <v xml:space="preserve"> </v>
      </c>
      <c r="C295" s="33" t="str">
        <f t="shared" si="10"/>
        <v xml:space="preserve"> </v>
      </c>
      <c r="D295" s="34" t="str">
        <f>IF(A295&lt;0,'CAR PROMAX FILIAL CRUZ'!B289," ")</f>
        <v xml:space="preserve"> </v>
      </c>
      <c r="E295" s="35" t="str">
        <f>IF(A295&lt;0,'CAR PROMAX FILIAL CRUZ'!C289," ")</f>
        <v xml:space="preserve"> </v>
      </c>
      <c r="F295" s="34" t="str">
        <f>IF(A295&lt;0,'CAR PROMAX FILIAL CRUZ'!D289," ")</f>
        <v xml:space="preserve"> </v>
      </c>
      <c r="G295" s="34" t="str">
        <f>IF(A295&lt;0,'CAR PROMAX FILIAL CRUZ'!E289," ")</f>
        <v xml:space="preserve"> </v>
      </c>
      <c r="H295" s="34" t="str">
        <f>IF(A295&lt;0,'CAR PROMAX FILIAL CRUZ'!J289," ")</f>
        <v xml:space="preserve"> </v>
      </c>
      <c r="I295" s="34"/>
      <c r="J295" s="34"/>
      <c r="K295" s="34" t="str">
        <f>IF(A295&lt;0,'CAR PROMAX FILIAL CRUZ'!O289," ")</f>
        <v xml:space="preserve"> </v>
      </c>
      <c r="L295" s="36" t="str">
        <f>IF(A295&lt;0,'CAR PROMAX FILIAL CRUZ'!P289," ")</f>
        <v xml:space="preserve"> </v>
      </c>
      <c r="M295" s="36" t="str">
        <f>IF(A295&lt;0,'CAR PROMAX FILIAL CRUZ'!Q289," ")</f>
        <v xml:space="preserve"> </v>
      </c>
      <c r="N295" s="36" t="str">
        <f>IF(A295&lt;0,'CAR PROMAX FILIAL CRUZ'!R289," ")</f>
        <v xml:space="preserve"> </v>
      </c>
      <c r="O295" s="37" t="str">
        <f>IF(A295&lt;0,'CAR PROMAX FILIAL CRUZ'!S289," ")</f>
        <v xml:space="preserve"> </v>
      </c>
      <c r="P295" s="37" t="str">
        <f>IF(A295&lt;0,'CAR PROMAX FILIAL CRUZ'!T289," ")</f>
        <v xml:space="preserve"> </v>
      </c>
      <c r="Q295" s="37" t="str">
        <f>IF(A295&lt;0,'CAR PROMAX FILIAL CRUZ'!U289," ")</f>
        <v xml:space="preserve"> </v>
      </c>
      <c r="R295" s="34" t="str">
        <f>IF(A295&lt;0,'CAR PROMAX FILIAL CRUZ'!V289," ")</f>
        <v xml:space="preserve"> </v>
      </c>
    </row>
    <row r="296" spans="1:18" x14ac:dyDescent="0.25">
      <c r="A296">
        <f>'CAR PROMAX FILIAL CRUZ'!O290</f>
        <v>0</v>
      </c>
      <c r="B296" s="33" t="str">
        <f t="shared" si="11"/>
        <v xml:space="preserve"> </v>
      </c>
      <c r="C296" s="33" t="str">
        <f t="shared" si="10"/>
        <v xml:space="preserve"> </v>
      </c>
      <c r="D296" s="34" t="str">
        <f>IF(A296&lt;0,'CAR PROMAX FILIAL CRUZ'!B290," ")</f>
        <v xml:space="preserve"> </v>
      </c>
      <c r="E296" s="35" t="str">
        <f>IF(A296&lt;0,'CAR PROMAX FILIAL CRUZ'!C290," ")</f>
        <v xml:space="preserve"> </v>
      </c>
      <c r="F296" s="34" t="str">
        <f>IF(A296&lt;0,'CAR PROMAX FILIAL CRUZ'!D290," ")</f>
        <v xml:space="preserve"> </v>
      </c>
      <c r="G296" s="34" t="str">
        <f>IF(A296&lt;0,'CAR PROMAX FILIAL CRUZ'!E290," ")</f>
        <v xml:space="preserve"> </v>
      </c>
      <c r="H296" s="34" t="str">
        <f>IF(A296&lt;0,'CAR PROMAX FILIAL CRUZ'!J290," ")</f>
        <v xml:space="preserve"> </v>
      </c>
      <c r="I296" s="34"/>
      <c r="J296" s="34"/>
      <c r="K296" s="34" t="str">
        <f>IF(A296&lt;0,'CAR PROMAX FILIAL CRUZ'!O290," ")</f>
        <v xml:space="preserve"> </v>
      </c>
      <c r="L296" s="36" t="str">
        <f>IF(A296&lt;0,'CAR PROMAX FILIAL CRUZ'!P290," ")</f>
        <v xml:space="preserve"> </v>
      </c>
      <c r="M296" s="36" t="str">
        <f>IF(A296&lt;0,'CAR PROMAX FILIAL CRUZ'!Q290," ")</f>
        <v xml:space="preserve"> </v>
      </c>
      <c r="N296" s="36" t="str">
        <f>IF(A296&lt;0,'CAR PROMAX FILIAL CRUZ'!R290," ")</f>
        <v xml:space="preserve"> </v>
      </c>
      <c r="O296" s="37" t="str">
        <f>IF(A296&lt;0,'CAR PROMAX FILIAL CRUZ'!S290," ")</f>
        <v xml:space="preserve"> </v>
      </c>
      <c r="P296" s="37" t="str">
        <f>IF(A296&lt;0,'CAR PROMAX FILIAL CRUZ'!T290," ")</f>
        <v xml:space="preserve"> </v>
      </c>
      <c r="Q296" s="37" t="str">
        <f>IF(A296&lt;0,'CAR PROMAX FILIAL CRUZ'!U290," ")</f>
        <v xml:space="preserve"> </v>
      </c>
      <c r="R296" s="34" t="str">
        <f>IF(A296&lt;0,'CAR PROMAX FILIAL CRUZ'!V290," ")</f>
        <v xml:space="preserve"> </v>
      </c>
    </row>
    <row r="297" spans="1:18" x14ac:dyDescent="0.25">
      <c r="A297">
        <f>'CAR PROMAX FILIAL CRUZ'!O291</f>
        <v>0</v>
      </c>
      <c r="B297" s="33" t="str">
        <f t="shared" si="11"/>
        <v xml:space="preserve"> </v>
      </c>
      <c r="C297" s="33" t="str">
        <f t="shared" si="10"/>
        <v xml:space="preserve"> </v>
      </c>
      <c r="D297" s="34" t="str">
        <f>IF(A297&lt;0,'CAR PROMAX FILIAL CRUZ'!B291," ")</f>
        <v xml:space="preserve"> </v>
      </c>
      <c r="E297" s="35" t="str">
        <f>IF(A297&lt;0,'CAR PROMAX FILIAL CRUZ'!C291," ")</f>
        <v xml:space="preserve"> </v>
      </c>
      <c r="F297" s="34" t="str">
        <f>IF(A297&lt;0,'CAR PROMAX FILIAL CRUZ'!D291," ")</f>
        <v xml:space="preserve"> </v>
      </c>
      <c r="G297" s="34" t="str">
        <f>IF(A297&lt;0,'CAR PROMAX FILIAL CRUZ'!E291," ")</f>
        <v xml:space="preserve"> </v>
      </c>
      <c r="H297" s="34" t="str">
        <f>IF(A297&lt;0,'CAR PROMAX FILIAL CRUZ'!J291," ")</f>
        <v xml:space="preserve"> </v>
      </c>
      <c r="I297" s="34"/>
      <c r="J297" s="34"/>
      <c r="K297" s="34" t="str">
        <f>IF(A297&lt;0,'CAR PROMAX FILIAL CRUZ'!O291," ")</f>
        <v xml:space="preserve"> </v>
      </c>
      <c r="L297" s="36" t="str">
        <f>IF(A297&lt;0,'CAR PROMAX FILIAL CRUZ'!P291," ")</f>
        <v xml:space="preserve"> </v>
      </c>
      <c r="M297" s="36" t="str">
        <f>IF(A297&lt;0,'CAR PROMAX FILIAL CRUZ'!Q291," ")</f>
        <v xml:space="preserve"> </v>
      </c>
      <c r="N297" s="36" t="str">
        <f>IF(A297&lt;0,'CAR PROMAX FILIAL CRUZ'!R291," ")</f>
        <v xml:space="preserve"> </v>
      </c>
      <c r="O297" s="37" t="str">
        <f>IF(A297&lt;0,'CAR PROMAX FILIAL CRUZ'!S291," ")</f>
        <v xml:space="preserve"> </v>
      </c>
      <c r="P297" s="37" t="str">
        <f>IF(A297&lt;0,'CAR PROMAX FILIAL CRUZ'!T291," ")</f>
        <v xml:space="preserve"> </v>
      </c>
      <c r="Q297" s="37" t="str">
        <f>IF(A297&lt;0,'CAR PROMAX FILIAL CRUZ'!U291," ")</f>
        <v xml:space="preserve"> </v>
      </c>
      <c r="R297" s="34" t="str">
        <f>IF(A297&lt;0,'CAR PROMAX FILIAL CRUZ'!V291," ")</f>
        <v xml:space="preserve"> </v>
      </c>
    </row>
    <row r="298" spans="1:18" x14ac:dyDescent="0.25">
      <c r="A298">
        <f>'CAR PROMAX FILIAL CRUZ'!O292</f>
        <v>0</v>
      </c>
      <c r="B298" s="33" t="str">
        <f t="shared" si="11"/>
        <v xml:space="preserve"> </v>
      </c>
      <c r="C298" s="33" t="str">
        <f t="shared" si="10"/>
        <v xml:space="preserve"> </v>
      </c>
      <c r="D298" s="34" t="str">
        <f>IF(A298&lt;0,'CAR PROMAX FILIAL CRUZ'!B292," ")</f>
        <v xml:space="preserve"> </v>
      </c>
      <c r="E298" s="35" t="str">
        <f>IF(A298&lt;0,'CAR PROMAX FILIAL CRUZ'!C292," ")</f>
        <v xml:space="preserve"> </v>
      </c>
      <c r="F298" s="34" t="str">
        <f>IF(A298&lt;0,'CAR PROMAX FILIAL CRUZ'!D292," ")</f>
        <v xml:space="preserve"> </v>
      </c>
      <c r="G298" s="34" t="str">
        <f>IF(A298&lt;0,'CAR PROMAX FILIAL CRUZ'!E292," ")</f>
        <v xml:space="preserve"> </v>
      </c>
      <c r="H298" s="34" t="str">
        <f>IF(A298&lt;0,'CAR PROMAX FILIAL CRUZ'!J292," ")</f>
        <v xml:space="preserve"> </v>
      </c>
      <c r="I298" s="34"/>
      <c r="J298" s="34"/>
      <c r="K298" s="34" t="str">
        <f>IF(A298&lt;0,'CAR PROMAX FILIAL CRUZ'!O292," ")</f>
        <v xml:space="preserve"> </v>
      </c>
      <c r="L298" s="36" t="str">
        <f>IF(A298&lt;0,'CAR PROMAX FILIAL CRUZ'!P292," ")</f>
        <v xml:space="preserve"> </v>
      </c>
      <c r="M298" s="36" t="str">
        <f>IF(A298&lt;0,'CAR PROMAX FILIAL CRUZ'!Q292," ")</f>
        <v xml:space="preserve"> </v>
      </c>
      <c r="N298" s="36" t="str">
        <f>IF(A298&lt;0,'CAR PROMAX FILIAL CRUZ'!R292," ")</f>
        <v xml:space="preserve"> </v>
      </c>
      <c r="O298" s="37" t="str">
        <f>IF(A298&lt;0,'CAR PROMAX FILIAL CRUZ'!S292," ")</f>
        <v xml:space="preserve"> </v>
      </c>
      <c r="P298" s="37" t="str">
        <f>IF(A298&lt;0,'CAR PROMAX FILIAL CRUZ'!T292," ")</f>
        <v xml:space="preserve"> </v>
      </c>
      <c r="Q298" s="37" t="str">
        <f>IF(A298&lt;0,'CAR PROMAX FILIAL CRUZ'!U292," ")</f>
        <v xml:space="preserve"> </v>
      </c>
      <c r="R298" s="34" t="str">
        <f>IF(A298&lt;0,'CAR PROMAX FILIAL CRUZ'!V292," ")</f>
        <v xml:space="preserve"> </v>
      </c>
    </row>
    <row r="299" spans="1:18" x14ac:dyDescent="0.25">
      <c r="A299">
        <f>'CAR PROMAX FILIAL CRUZ'!O293</f>
        <v>0</v>
      </c>
      <c r="B299" s="33" t="str">
        <f t="shared" si="11"/>
        <v xml:space="preserve"> </v>
      </c>
      <c r="C299" s="33" t="str">
        <f t="shared" si="10"/>
        <v xml:space="preserve"> </v>
      </c>
      <c r="D299" s="34" t="str">
        <f>IF(A299&lt;0,'CAR PROMAX FILIAL CRUZ'!B293," ")</f>
        <v xml:space="preserve"> </v>
      </c>
      <c r="E299" s="35" t="str">
        <f>IF(A299&lt;0,'CAR PROMAX FILIAL CRUZ'!C293," ")</f>
        <v xml:space="preserve"> </v>
      </c>
      <c r="F299" s="34" t="str">
        <f>IF(A299&lt;0,'CAR PROMAX FILIAL CRUZ'!D293," ")</f>
        <v xml:space="preserve"> </v>
      </c>
      <c r="G299" s="34" t="str">
        <f>IF(A299&lt;0,'CAR PROMAX FILIAL CRUZ'!E293," ")</f>
        <v xml:space="preserve"> </v>
      </c>
      <c r="H299" s="34" t="str">
        <f>IF(A299&lt;0,'CAR PROMAX FILIAL CRUZ'!J293," ")</f>
        <v xml:space="preserve"> </v>
      </c>
      <c r="I299" s="34"/>
      <c r="J299" s="34"/>
      <c r="K299" s="34" t="str">
        <f>IF(A299&lt;0,'CAR PROMAX FILIAL CRUZ'!O293," ")</f>
        <v xml:space="preserve"> </v>
      </c>
      <c r="L299" s="36" t="str">
        <f>IF(A299&lt;0,'CAR PROMAX FILIAL CRUZ'!P293," ")</f>
        <v xml:space="preserve"> </v>
      </c>
      <c r="M299" s="36" t="str">
        <f>IF(A299&lt;0,'CAR PROMAX FILIAL CRUZ'!Q293," ")</f>
        <v xml:space="preserve"> </v>
      </c>
      <c r="N299" s="36" t="str">
        <f>IF(A299&lt;0,'CAR PROMAX FILIAL CRUZ'!R293," ")</f>
        <v xml:space="preserve"> </v>
      </c>
      <c r="O299" s="37" t="str">
        <f>IF(A299&lt;0,'CAR PROMAX FILIAL CRUZ'!S293," ")</f>
        <v xml:space="preserve"> </v>
      </c>
      <c r="P299" s="37" t="str">
        <f>IF(A299&lt;0,'CAR PROMAX FILIAL CRUZ'!T293," ")</f>
        <v xml:space="preserve"> </v>
      </c>
      <c r="Q299" s="37" t="str">
        <f>IF(A299&lt;0,'CAR PROMAX FILIAL CRUZ'!U293," ")</f>
        <v xml:space="preserve"> </v>
      </c>
      <c r="R299" s="34" t="str">
        <f>IF(A299&lt;0,'CAR PROMAX FILIAL CRUZ'!V293," ")</f>
        <v xml:space="preserve"> </v>
      </c>
    </row>
    <row r="300" spans="1:18" x14ac:dyDescent="0.25">
      <c r="A300">
        <f>'CAR PROMAX FILIAL CRUZ'!O294</f>
        <v>0</v>
      </c>
      <c r="B300" s="33" t="str">
        <f t="shared" si="11"/>
        <v xml:space="preserve"> </v>
      </c>
      <c r="C300" s="33" t="str">
        <f t="shared" si="10"/>
        <v xml:space="preserve"> </v>
      </c>
      <c r="D300" s="34" t="str">
        <f>IF(A300&lt;0,'CAR PROMAX FILIAL CRUZ'!B294," ")</f>
        <v xml:space="preserve"> </v>
      </c>
      <c r="E300" s="35" t="str">
        <f>IF(A300&lt;0,'CAR PROMAX FILIAL CRUZ'!C294," ")</f>
        <v xml:space="preserve"> </v>
      </c>
      <c r="F300" s="34" t="str">
        <f>IF(A300&lt;0,'CAR PROMAX FILIAL CRUZ'!D294," ")</f>
        <v xml:space="preserve"> </v>
      </c>
      <c r="G300" s="34" t="str">
        <f>IF(A300&lt;0,'CAR PROMAX FILIAL CRUZ'!E294," ")</f>
        <v xml:space="preserve"> </v>
      </c>
      <c r="H300" s="34" t="str">
        <f>IF(A300&lt;0,'CAR PROMAX FILIAL CRUZ'!J294," ")</f>
        <v xml:space="preserve"> </v>
      </c>
      <c r="I300" s="34"/>
      <c r="J300" s="34"/>
      <c r="K300" s="34" t="str">
        <f>IF(A300&lt;0,'CAR PROMAX FILIAL CRUZ'!O294," ")</f>
        <v xml:space="preserve"> </v>
      </c>
      <c r="L300" s="36" t="str">
        <f>IF(A300&lt;0,'CAR PROMAX FILIAL CRUZ'!P294," ")</f>
        <v xml:space="preserve"> </v>
      </c>
      <c r="M300" s="36" t="str">
        <f>IF(A300&lt;0,'CAR PROMAX FILIAL CRUZ'!Q294," ")</f>
        <v xml:space="preserve"> </v>
      </c>
      <c r="N300" s="36" t="str">
        <f>IF(A300&lt;0,'CAR PROMAX FILIAL CRUZ'!R294," ")</f>
        <v xml:space="preserve"> </v>
      </c>
      <c r="O300" s="37" t="str">
        <f>IF(A300&lt;0,'CAR PROMAX FILIAL CRUZ'!S294," ")</f>
        <v xml:space="preserve"> </v>
      </c>
      <c r="P300" s="37" t="str">
        <f>IF(A300&lt;0,'CAR PROMAX FILIAL CRUZ'!T294," ")</f>
        <v xml:space="preserve"> </v>
      </c>
      <c r="Q300" s="37" t="str">
        <f>IF(A300&lt;0,'CAR PROMAX FILIAL CRUZ'!U294," ")</f>
        <v xml:space="preserve"> </v>
      </c>
      <c r="R300" s="34" t="str">
        <f>IF(A300&lt;0,'CAR PROMAX FILIAL CRUZ'!V294," ")</f>
        <v xml:space="preserve"> </v>
      </c>
    </row>
    <row r="301" spans="1:18" x14ac:dyDescent="0.25">
      <c r="A301">
        <f>'CAR PROMAX FILIAL CRUZ'!O295</f>
        <v>0</v>
      </c>
      <c r="B301" s="33" t="str">
        <f t="shared" si="11"/>
        <v xml:space="preserve"> </v>
      </c>
      <c r="C301" s="33" t="str">
        <f t="shared" si="10"/>
        <v xml:space="preserve"> </v>
      </c>
      <c r="D301" s="34" t="str">
        <f>IF(A301&lt;0,'CAR PROMAX FILIAL CRUZ'!B295," ")</f>
        <v xml:space="preserve"> </v>
      </c>
      <c r="E301" s="35" t="str">
        <f>IF(A301&lt;0,'CAR PROMAX FILIAL CRUZ'!C295," ")</f>
        <v xml:space="preserve"> </v>
      </c>
      <c r="F301" s="34" t="str">
        <f>IF(A301&lt;0,'CAR PROMAX FILIAL CRUZ'!D295," ")</f>
        <v xml:space="preserve"> </v>
      </c>
      <c r="G301" s="34" t="str">
        <f>IF(A301&lt;0,'CAR PROMAX FILIAL CRUZ'!E295," ")</f>
        <v xml:space="preserve"> </v>
      </c>
      <c r="H301" s="34" t="str">
        <f>IF(A301&lt;0,'CAR PROMAX FILIAL CRUZ'!J295," ")</f>
        <v xml:space="preserve"> </v>
      </c>
      <c r="I301" s="34"/>
      <c r="J301" s="34"/>
      <c r="K301" s="34" t="str">
        <f>IF(A301&lt;0,'CAR PROMAX FILIAL CRUZ'!O295," ")</f>
        <v xml:space="preserve"> </v>
      </c>
      <c r="L301" s="36" t="str">
        <f>IF(A301&lt;0,'CAR PROMAX FILIAL CRUZ'!P295," ")</f>
        <v xml:space="preserve"> </v>
      </c>
      <c r="M301" s="36" t="str">
        <f>IF(A301&lt;0,'CAR PROMAX FILIAL CRUZ'!Q295," ")</f>
        <v xml:space="preserve"> </v>
      </c>
      <c r="N301" s="36" t="str">
        <f>IF(A301&lt;0,'CAR PROMAX FILIAL CRUZ'!R295," ")</f>
        <v xml:space="preserve"> </v>
      </c>
      <c r="O301" s="37" t="str">
        <f>IF(A301&lt;0,'CAR PROMAX FILIAL CRUZ'!S295," ")</f>
        <v xml:space="preserve"> </v>
      </c>
      <c r="P301" s="37" t="str">
        <f>IF(A301&lt;0,'CAR PROMAX FILIAL CRUZ'!T295," ")</f>
        <v xml:space="preserve"> </v>
      </c>
      <c r="Q301" s="37" t="str">
        <f>IF(A301&lt;0,'CAR PROMAX FILIAL CRUZ'!U295," ")</f>
        <v xml:space="preserve"> </v>
      </c>
      <c r="R301" s="34" t="str">
        <f>IF(A301&lt;0,'CAR PROMAX FILIAL CRUZ'!V295," ")</f>
        <v xml:space="preserve"> </v>
      </c>
    </row>
    <row r="302" spans="1:18" x14ac:dyDescent="0.25">
      <c r="A302">
        <f>'CAR PROMAX FILIAL CRUZ'!O296</f>
        <v>0</v>
      </c>
      <c r="B302" s="33" t="str">
        <f t="shared" si="11"/>
        <v xml:space="preserve"> </v>
      </c>
      <c r="C302" s="33" t="str">
        <f t="shared" si="10"/>
        <v xml:space="preserve"> </v>
      </c>
      <c r="D302" s="34" t="str">
        <f>IF(A302&lt;0,'CAR PROMAX FILIAL CRUZ'!B296," ")</f>
        <v xml:space="preserve"> </v>
      </c>
      <c r="E302" s="35" t="str">
        <f>IF(A302&lt;0,'CAR PROMAX FILIAL CRUZ'!C296," ")</f>
        <v xml:space="preserve"> </v>
      </c>
      <c r="F302" s="34" t="str">
        <f>IF(A302&lt;0,'CAR PROMAX FILIAL CRUZ'!D296," ")</f>
        <v xml:space="preserve"> </v>
      </c>
      <c r="G302" s="34" t="str">
        <f>IF(A302&lt;0,'CAR PROMAX FILIAL CRUZ'!E296," ")</f>
        <v xml:space="preserve"> </v>
      </c>
      <c r="H302" s="34" t="str">
        <f>IF(A302&lt;0,'CAR PROMAX FILIAL CRUZ'!J296," ")</f>
        <v xml:space="preserve"> </v>
      </c>
      <c r="I302" s="34"/>
      <c r="J302" s="34"/>
      <c r="K302" s="34" t="str">
        <f>IF(A302&lt;0,'CAR PROMAX FILIAL CRUZ'!O296," ")</f>
        <v xml:space="preserve"> </v>
      </c>
      <c r="L302" s="36" t="str">
        <f>IF(A302&lt;0,'CAR PROMAX FILIAL CRUZ'!P296," ")</f>
        <v xml:space="preserve"> </v>
      </c>
      <c r="M302" s="36" t="str">
        <f>IF(A302&lt;0,'CAR PROMAX FILIAL CRUZ'!Q296," ")</f>
        <v xml:space="preserve"> </v>
      </c>
      <c r="N302" s="36" t="str">
        <f>IF(A302&lt;0,'CAR PROMAX FILIAL CRUZ'!R296," ")</f>
        <v xml:space="preserve"> </v>
      </c>
      <c r="O302" s="37" t="str">
        <f>IF(A302&lt;0,'CAR PROMAX FILIAL CRUZ'!S296," ")</f>
        <v xml:space="preserve"> </v>
      </c>
      <c r="P302" s="37" t="str">
        <f>IF(A302&lt;0,'CAR PROMAX FILIAL CRUZ'!T296," ")</f>
        <v xml:space="preserve"> </v>
      </c>
      <c r="Q302" s="37" t="str">
        <f>IF(A302&lt;0,'CAR PROMAX FILIAL CRUZ'!U296," ")</f>
        <v xml:space="preserve"> </v>
      </c>
      <c r="R302" s="34" t="str">
        <f>IF(A302&lt;0,'CAR PROMAX FILIAL CRUZ'!V296," ")</f>
        <v xml:space="preserve"> </v>
      </c>
    </row>
    <row r="303" spans="1:18" x14ac:dyDescent="0.25">
      <c r="A303">
        <f>'CAR PROMAX FILIAL CRUZ'!O297</f>
        <v>0</v>
      </c>
      <c r="B303" s="33" t="str">
        <f t="shared" si="11"/>
        <v xml:space="preserve"> </v>
      </c>
      <c r="C303" s="33" t="str">
        <f t="shared" si="10"/>
        <v xml:space="preserve"> </v>
      </c>
      <c r="D303" s="34" t="str">
        <f>IF(A303&lt;0,'CAR PROMAX FILIAL CRUZ'!B297," ")</f>
        <v xml:space="preserve"> </v>
      </c>
      <c r="E303" s="35" t="str">
        <f>IF(A303&lt;0,'CAR PROMAX FILIAL CRUZ'!C297," ")</f>
        <v xml:space="preserve"> </v>
      </c>
      <c r="F303" s="34" t="str">
        <f>IF(A303&lt;0,'CAR PROMAX FILIAL CRUZ'!D297," ")</f>
        <v xml:space="preserve"> </v>
      </c>
      <c r="G303" s="34" t="str">
        <f>IF(A303&lt;0,'CAR PROMAX FILIAL CRUZ'!E297," ")</f>
        <v xml:space="preserve"> </v>
      </c>
      <c r="H303" s="34" t="str">
        <f>IF(A303&lt;0,'CAR PROMAX FILIAL CRUZ'!J297," ")</f>
        <v xml:space="preserve"> </v>
      </c>
      <c r="I303" s="34"/>
      <c r="J303" s="34"/>
      <c r="K303" s="34" t="str">
        <f>IF(A303&lt;0,'CAR PROMAX FILIAL CRUZ'!O297," ")</f>
        <v xml:space="preserve"> </v>
      </c>
      <c r="L303" s="36" t="str">
        <f>IF(A303&lt;0,'CAR PROMAX FILIAL CRUZ'!P297," ")</f>
        <v xml:space="preserve"> </v>
      </c>
      <c r="M303" s="36" t="str">
        <f>IF(A303&lt;0,'CAR PROMAX FILIAL CRUZ'!Q297," ")</f>
        <v xml:space="preserve"> </v>
      </c>
      <c r="N303" s="36" t="str">
        <f>IF(A303&lt;0,'CAR PROMAX FILIAL CRUZ'!R297," ")</f>
        <v xml:space="preserve"> </v>
      </c>
      <c r="O303" s="37" t="str">
        <f>IF(A303&lt;0,'CAR PROMAX FILIAL CRUZ'!S297," ")</f>
        <v xml:space="preserve"> </v>
      </c>
      <c r="P303" s="37" t="str">
        <f>IF(A303&lt;0,'CAR PROMAX FILIAL CRUZ'!T297," ")</f>
        <v xml:space="preserve"> </v>
      </c>
      <c r="Q303" s="37" t="str">
        <f>IF(A303&lt;0,'CAR PROMAX FILIAL CRUZ'!U297," ")</f>
        <v xml:space="preserve"> </v>
      </c>
      <c r="R303" s="34" t="str">
        <f>IF(A303&lt;0,'CAR PROMAX FILIAL CRUZ'!V297," ")</f>
        <v xml:space="preserve"> </v>
      </c>
    </row>
    <row r="304" spans="1:18" x14ac:dyDescent="0.25">
      <c r="A304">
        <f>'CAR PROMAX FILIAL CRUZ'!O298</f>
        <v>0</v>
      </c>
      <c r="B304" s="33" t="str">
        <f t="shared" si="11"/>
        <v xml:space="preserve"> </v>
      </c>
      <c r="C304" s="33" t="str">
        <f t="shared" si="10"/>
        <v xml:space="preserve"> </v>
      </c>
      <c r="D304" s="34" t="str">
        <f>IF(A304&lt;0,'CAR PROMAX FILIAL CRUZ'!B298," ")</f>
        <v xml:space="preserve"> </v>
      </c>
      <c r="E304" s="35" t="str">
        <f>IF(A304&lt;0,'CAR PROMAX FILIAL CRUZ'!C298," ")</f>
        <v xml:space="preserve"> </v>
      </c>
      <c r="F304" s="34" t="str">
        <f>IF(A304&lt;0,'CAR PROMAX FILIAL CRUZ'!D298," ")</f>
        <v xml:space="preserve"> </v>
      </c>
      <c r="G304" s="34" t="str">
        <f>IF(A304&lt;0,'CAR PROMAX FILIAL CRUZ'!E298," ")</f>
        <v xml:space="preserve"> </v>
      </c>
      <c r="H304" s="34" t="str">
        <f>IF(A304&lt;0,'CAR PROMAX FILIAL CRUZ'!J298," ")</f>
        <v xml:space="preserve"> </v>
      </c>
      <c r="I304" s="34"/>
      <c r="J304" s="34"/>
      <c r="K304" s="34" t="str">
        <f>IF(A304&lt;0,'CAR PROMAX FILIAL CRUZ'!O298," ")</f>
        <v xml:space="preserve"> </v>
      </c>
      <c r="L304" s="36" t="str">
        <f>IF(A304&lt;0,'CAR PROMAX FILIAL CRUZ'!P298," ")</f>
        <v xml:space="preserve"> </v>
      </c>
      <c r="M304" s="36" t="str">
        <f>IF(A304&lt;0,'CAR PROMAX FILIAL CRUZ'!Q298," ")</f>
        <v xml:space="preserve"> </v>
      </c>
      <c r="N304" s="36" t="str">
        <f>IF(A304&lt;0,'CAR PROMAX FILIAL CRUZ'!R298," ")</f>
        <v xml:space="preserve"> </v>
      </c>
      <c r="O304" s="37" t="str">
        <f>IF(A304&lt;0,'CAR PROMAX FILIAL CRUZ'!S298," ")</f>
        <v xml:space="preserve"> </v>
      </c>
      <c r="P304" s="37" t="str">
        <f>IF(A304&lt;0,'CAR PROMAX FILIAL CRUZ'!T298," ")</f>
        <v xml:space="preserve"> </v>
      </c>
      <c r="Q304" s="37" t="str">
        <f>IF(A304&lt;0,'CAR PROMAX FILIAL CRUZ'!U298," ")</f>
        <v xml:space="preserve"> </v>
      </c>
      <c r="R304" s="34" t="str">
        <f>IF(A304&lt;0,'CAR PROMAX FILIAL CRUZ'!V298," ")</f>
        <v xml:space="preserve"> </v>
      </c>
    </row>
    <row r="305" spans="1:18" x14ac:dyDescent="0.25">
      <c r="A305">
        <f>'CAR PROMAX FILIAL CRUZ'!O299</f>
        <v>0</v>
      </c>
      <c r="B305" s="33" t="str">
        <f t="shared" si="11"/>
        <v xml:space="preserve"> </v>
      </c>
      <c r="C305" s="33" t="str">
        <f t="shared" si="10"/>
        <v xml:space="preserve"> </v>
      </c>
      <c r="D305" s="34" t="str">
        <f>IF(A305&lt;0,'CAR PROMAX FILIAL CRUZ'!B299," ")</f>
        <v xml:space="preserve"> </v>
      </c>
      <c r="E305" s="35" t="str">
        <f>IF(A305&lt;0,'CAR PROMAX FILIAL CRUZ'!C299," ")</f>
        <v xml:space="preserve"> </v>
      </c>
      <c r="F305" s="34" t="str">
        <f>IF(A305&lt;0,'CAR PROMAX FILIAL CRUZ'!D299," ")</f>
        <v xml:space="preserve"> </v>
      </c>
      <c r="G305" s="34" t="str">
        <f>IF(A305&lt;0,'CAR PROMAX FILIAL CRUZ'!E299," ")</f>
        <v xml:space="preserve"> </v>
      </c>
      <c r="H305" s="34" t="str">
        <f>IF(A305&lt;0,'CAR PROMAX FILIAL CRUZ'!J299," ")</f>
        <v xml:space="preserve"> </v>
      </c>
      <c r="I305" s="34"/>
      <c r="J305" s="34"/>
      <c r="K305" s="34" t="str">
        <f>IF(A305&lt;0,'CAR PROMAX FILIAL CRUZ'!O299," ")</f>
        <v xml:space="preserve"> </v>
      </c>
      <c r="L305" s="36" t="str">
        <f>IF(A305&lt;0,'CAR PROMAX FILIAL CRUZ'!P299," ")</f>
        <v xml:space="preserve"> </v>
      </c>
      <c r="M305" s="36" t="str">
        <f>IF(A305&lt;0,'CAR PROMAX FILIAL CRUZ'!Q299," ")</f>
        <v xml:space="preserve"> </v>
      </c>
      <c r="N305" s="36" t="str">
        <f>IF(A305&lt;0,'CAR PROMAX FILIAL CRUZ'!R299," ")</f>
        <v xml:space="preserve"> </v>
      </c>
      <c r="O305" s="37" t="str">
        <f>IF(A305&lt;0,'CAR PROMAX FILIAL CRUZ'!S299," ")</f>
        <v xml:space="preserve"> </v>
      </c>
      <c r="P305" s="37" t="str">
        <f>IF(A305&lt;0,'CAR PROMAX FILIAL CRUZ'!T299," ")</f>
        <v xml:space="preserve"> </v>
      </c>
      <c r="Q305" s="37" t="str">
        <f>IF(A305&lt;0,'CAR PROMAX FILIAL CRUZ'!U299," ")</f>
        <v xml:space="preserve"> </v>
      </c>
      <c r="R305" s="34" t="str">
        <f>IF(A305&lt;0,'CAR PROMAX FILIAL CRUZ'!V299," ")</f>
        <v xml:space="preserve"> </v>
      </c>
    </row>
    <row r="306" spans="1:18" x14ac:dyDescent="0.25">
      <c r="A306">
        <f>'CAR PROMAX FILIAL CRUZ'!O300</f>
        <v>0</v>
      </c>
      <c r="B306" s="33" t="str">
        <f t="shared" si="11"/>
        <v xml:space="preserve"> </v>
      </c>
      <c r="C306" s="33" t="str">
        <f t="shared" si="10"/>
        <v xml:space="preserve"> </v>
      </c>
      <c r="D306" s="34" t="str">
        <f>IF(A306&lt;0,'CAR PROMAX FILIAL CRUZ'!B300," ")</f>
        <v xml:space="preserve"> </v>
      </c>
      <c r="E306" s="35" t="str">
        <f>IF(A306&lt;0,'CAR PROMAX FILIAL CRUZ'!C300," ")</f>
        <v xml:space="preserve"> </v>
      </c>
      <c r="F306" s="34" t="str">
        <f>IF(A306&lt;0,'CAR PROMAX FILIAL CRUZ'!D300," ")</f>
        <v xml:space="preserve"> </v>
      </c>
      <c r="G306" s="34" t="str">
        <f>IF(A306&lt;0,'CAR PROMAX FILIAL CRUZ'!E300," ")</f>
        <v xml:space="preserve"> </v>
      </c>
      <c r="H306" s="34" t="str">
        <f>IF(A306&lt;0,'CAR PROMAX FILIAL CRUZ'!J300," ")</f>
        <v xml:space="preserve"> </v>
      </c>
      <c r="I306" s="34"/>
      <c r="J306" s="34"/>
      <c r="K306" s="34" t="str">
        <f>IF(A306&lt;0,'CAR PROMAX FILIAL CRUZ'!O300," ")</f>
        <v xml:space="preserve"> </v>
      </c>
      <c r="L306" s="36" t="str">
        <f>IF(A306&lt;0,'CAR PROMAX FILIAL CRUZ'!P300," ")</f>
        <v xml:space="preserve"> </v>
      </c>
      <c r="M306" s="36" t="str">
        <f>IF(A306&lt;0,'CAR PROMAX FILIAL CRUZ'!Q300," ")</f>
        <v xml:space="preserve"> </v>
      </c>
      <c r="N306" s="36" t="str">
        <f>IF(A306&lt;0,'CAR PROMAX FILIAL CRUZ'!R300," ")</f>
        <v xml:space="preserve"> </v>
      </c>
      <c r="O306" s="37" t="str">
        <f>IF(A306&lt;0,'CAR PROMAX FILIAL CRUZ'!S300," ")</f>
        <v xml:space="preserve"> </v>
      </c>
      <c r="P306" s="37" t="str">
        <f>IF(A306&lt;0,'CAR PROMAX FILIAL CRUZ'!T300," ")</f>
        <v xml:space="preserve"> </v>
      </c>
      <c r="Q306" s="37" t="str">
        <f>IF(A306&lt;0,'CAR PROMAX FILIAL CRUZ'!U300," ")</f>
        <v xml:space="preserve"> </v>
      </c>
      <c r="R306" s="34" t="str">
        <f>IF(A306&lt;0,'CAR PROMAX FILIAL CRUZ'!V300," ")</f>
        <v xml:space="preserve"> </v>
      </c>
    </row>
    <row r="307" spans="1:18" x14ac:dyDescent="0.25">
      <c r="A307">
        <f>'CAR PROMAX FILIAL CRUZ'!O301</f>
        <v>0</v>
      </c>
      <c r="B307" s="33" t="str">
        <f t="shared" si="11"/>
        <v xml:space="preserve"> </v>
      </c>
      <c r="C307" s="33" t="str">
        <f t="shared" si="10"/>
        <v xml:space="preserve"> </v>
      </c>
      <c r="D307" s="34" t="str">
        <f>IF(A307&lt;0,'CAR PROMAX FILIAL CRUZ'!B301," ")</f>
        <v xml:space="preserve"> </v>
      </c>
      <c r="E307" s="35" t="str">
        <f>IF(A307&lt;0,'CAR PROMAX FILIAL CRUZ'!C301," ")</f>
        <v xml:space="preserve"> </v>
      </c>
      <c r="F307" s="34" t="str">
        <f>IF(A307&lt;0,'CAR PROMAX FILIAL CRUZ'!D301," ")</f>
        <v xml:space="preserve"> </v>
      </c>
      <c r="G307" s="34" t="str">
        <f>IF(A307&lt;0,'CAR PROMAX FILIAL CRUZ'!E301," ")</f>
        <v xml:space="preserve"> </v>
      </c>
      <c r="H307" s="34" t="str">
        <f>IF(A307&lt;0,'CAR PROMAX FILIAL CRUZ'!J301," ")</f>
        <v xml:space="preserve"> </v>
      </c>
      <c r="I307" s="34"/>
      <c r="J307" s="34"/>
      <c r="K307" s="34" t="str">
        <f>IF(A307&lt;0,'CAR PROMAX FILIAL CRUZ'!O301," ")</f>
        <v xml:space="preserve"> </v>
      </c>
      <c r="L307" s="36" t="str">
        <f>IF(A307&lt;0,'CAR PROMAX FILIAL CRUZ'!P301," ")</f>
        <v xml:space="preserve"> </v>
      </c>
      <c r="M307" s="36" t="str">
        <f>IF(A307&lt;0,'CAR PROMAX FILIAL CRUZ'!Q301," ")</f>
        <v xml:space="preserve"> </v>
      </c>
      <c r="N307" s="36" t="str">
        <f>IF(A307&lt;0,'CAR PROMAX FILIAL CRUZ'!R301," ")</f>
        <v xml:space="preserve"> </v>
      </c>
      <c r="O307" s="37" t="str">
        <f>IF(A307&lt;0,'CAR PROMAX FILIAL CRUZ'!S301," ")</f>
        <v xml:space="preserve"> </v>
      </c>
      <c r="P307" s="37" t="str">
        <f>IF(A307&lt;0,'CAR PROMAX FILIAL CRUZ'!T301," ")</f>
        <v xml:space="preserve"> </v>
      </c>
      <c r="Q307" s="37" t="str">
        <f>IF(A307&lt;0,'CAR PROMAX FILIAL CRUZ'!U301," ")</f>
        <v xml:space="preserve"> </v>
      </c>
      <c r="R307" s="34" t="str">
        <f>IF(A307&lt;0,'CAR PROMAX FILIAL CRUZ'!V301," ")</f>
        <v xml:space="preserve"> </v>
      </c>
    </row>
    <row r="308" spans="1:18" x14ac:dyDescent="0.25">
      <c r="A308">
        <f>'CAR PROMAX FILIAL CRUZ'!O302</f>
        <v>0</v>
      </c>
      <c r="B308" s="33" t="str">
        <f t="shared" si="11"/>
        <v xml:space="preserve"> </v>
      </c>
      <c r="C308" s="33" t="str">
        <f t="shared" si="10"/>
        <v xml:space="preserve"> </v>
      </c>
      <c r="D308" s="34" t="str">
        <f>IF(A308&lt;0,'CAR PROMAX FILIAL CRUZ'!B302," ")</f>
        <v xml:space="preserve"> </v>
      </c>
      <c r="E308" s="35" t="str">
        <f>IF(A308&lt;0,'CAR PROMAX FILIAL CRUZ'!C302," ")</f>
        <v xml:space="preserve"> </v>
      </c>
      <c r="F308" s="34" t="str">
        <f>IF(A308&lt;0,'CAR PROMAX FILIAL CRUZ'!D302," ")</f>
        <v xml:space="preserve"> </v>
      </c>
      <c r="G308" s="34" t="str">
        <f>IF(A308&lt;0,'CAR PROMAX FILIAL CRUZ'!E302," ")</f>
        <v xml:space="preserve"> </v>
      </c>
      <c r="H308" s="34" t="str">
        <f>IF(A308&lt;0,'CAR PROMAX FILIAL CRUZ'!J302," ")</f>
        <v xml:space="preserve"> </v>
      </c>
      <c r="I308" s="34"/>
      <c r="J308" s="34"/>
      <c r="K308" s="34" t="str">
        <f>IF(A308&lt;0,'CAR PROMAX FILIAL CRUZ'!O302," ")</f>
        <v xml:space="preserve"> </v>
      </c>
      <c r="L308" s="36" t="str">
        <f>IF(A308&lt;0,'CAR PROMAX FILIAL CRUZ'!P302," ")</f>
        <v xml:space="preserve"> </v>
      </c>
      <c r="M308" s="36" t="str">
        <f>IF(A308&lt;0,'CAR PROMAX FILIAL CRUZ'!Q302," ")</f>
        <v xml:space="preserve"> </v>
      </c>
      <c r="N308" s="36" t="str">
        <f>IF(A308&lt;0,'CAR PROMAX FILIAL CRUZ'!R302," ")</f>
        <v xml:space="preserve"> </v>
      </c>
      <c r="O308" s="37" t="str">
        <f>IF(A308&lt;0,'CAR PROMAX FILIAL CRUZ'!S302," ")</f>
        <v xml:space="preserve"> </v>
      </c>
      <c r="P308" s="37" t="str">
        <f>IF(A308&lt;0,'CAR PROMAX FILIAL CRUZ'!T302," ")</f>
        <v xml:space="preserve"> </v>
      </c>
      <c r="Q308" s="37" t="str">
        <f>IF(A308&lt;0,'CAR PROMAX FILIAL CRUZ'!U302," ")</f>
        <v xml:space="preserve"> </v>
      </c>
      <c r="R308" s="34" t="str">
        <f>IF(A308&lt;0,'CAR PROMAX FILIAL CRUZ'!V302," ")</f>
        <v xml:space="preserve"> </v>
      </c>
    </row>
    <row r="309" spans="1:18" x14ac:dyDescent="0.25">
      <c r="A309">
        <f>'CAR PROMAX FILIAL CRUZ'!O303</f>
        <v>0</v>
      </c>
      <c r="B309" s="33" t="str">
        <f t="shared" si="11"/>
        <v xml:space="preserve"> </v>
      </c>
      <c r="C309" s="33" t="str">
        <f t="shared" si="10"/>
        <v xml:space="preserve"> </v>
      </c>
      <c r="D309" s="34" t="str">
        <f>IF(A309&lt;0,'CAR PROMAX FILIAL CRUZ'!B303," ")</f>
        <v xml:space="preserve"> </v>
      </c>
      <c r="E309" s="35" t="str">
        <f>IF(A309&lt;0,'CAR PROMAX FILIAL CRUZ'!C303," ")</f>
        <v xml:space="preserve"> </v>
      </c>
      <c r="F309" s="34" t="str">
        <f>IF(A309&lt;0,'CAR PROMAX FILIAL CRUZ'!D303," ")</f>
        <v xml:space="preserve"> </v>
      </c>
      <c r="G309" s="34" t="str">
        <f>IF(A309&lt;0,'CAR PROMAX FILIAL CRUZ'!E303," ")</f>
        <v xml:space="preserve"> </v>
      </c>
      <c r="H309" s="34" t="str">
        <f>IF(A309&lt;0,'CAR PROMAX FILIAL CRUZ'!J303," ")</f>
        <v xml:space="preserve"> </v>
      </c>
      <c r="I309" s="34"/>
      <c r="J309" s="34"/>
      <c r="K309" s="34" t="str">
        <f>IF(A309&lt;0,'CAR PROMAX FILIAL CRUZ'!O303," ")</f>
        <v xml:space="preserve"> </v>
      </c>
      <c r="L309" s="36" t="str">
        <f>IF(A309&lt;0,'CAR PROMAX FILIAL CRUZ'!P303," ")</f>
        <v xml:space="preserve"> </v>
      </c>
      <c r="M309" s="36" t="str">
        <f>IF(A309&lt;0,'CAR PROMAX FILIAL CRUZ'!Q303," ")</f>
        <v xml:space="preserve"> </v>
      </c>
      <c r="N309" s="36" t="str">
        <f>IF(A309&lt;0,'CAR PROMAX FILIAL CRUZ'!R303," ")</f>
        <v xml:space="preserve"> </v>
      </c>
      <c r="O309" s="37" t="str">
        <f>IF(A309&lt;0,'CAR PROMAX FILIAL CRUZ'!S303," ")</f>
        <v xml:space="preserve"> </v>
      </c>
      <c r="P309" s="37" t="str">
        <f>IF(A309&lt;0,'CAR PROMAX FILIAL CRUZ'!T303," ")</f>
        <v xml:space="preserve"> </v>
      </c>
      <c r="Q309" s="37" t="str">
        <f>IF(A309&lt;0,'CAR PROMAX FILIAL CRUZ'!U303," ")</f>
        <v xml:space="preserve"> </v>
      </c>
      <c r="R309" s="34" t="str">
        <f>IF(A309&lt;0,'CAR PROMAX FILIAL CRUZ'!V303," ")</f>
        <v xml:space="preserve"> </v>
      </c>
    </row>
    <row r="310" spans="1:18" x14ac:dyDescent="0.25">
      <c r="A310">
        <f>'CAR PROMAX FILIAL CRUZ'!O304</f>
        <v>0</v>
      </c>
      <c r="B310" s="33" t="str">
        <f t="shared" si="11"/>
        <v xml:space="preserve"> </v>
      </c>
      <c r="C310" s="33" t="str">
        <f t="shared" si="10"/>
        <v xml:space="preserve"> </v>
      </c>
      <c r="D310" s="34" t="str">
        <f>IF(A310&lt;0,'CAR PROMAX FILIAL CRUZ'!B304," ")</f>
        <v xml:space="preserve"> </v>
      </c>
      <c r="E310" s="35" t="str">
        <f>IF(A310&lt;0,'CAR PROMAX FILIAL CRUZ'!C304," ")</f>
        <v xml:space="preserve"> </v>
      </c>
      <c r="F310" s="34" t="str">
        <f>IF(A310&lt;0,'CAR PROMAX FILIAL CRUZ'!D304," ")</f>
        <v xml:space="preserve"> </v>
      </c>
      <c r="G310" s="34" t="str">
        <f>IF(A310&lt;0,'CAR PROMAX FILIAL CRUZ'!E304," ")</f>
        <v xml:space="preserve"> </v>
      </c>
      <c r="H310" s="34" t="str">
        <f>IF(A310&lt;0,'CAR PROMAX FILIAL CRUZ'!J304," ")</f>
        <v xml:space="preserve"> </v>
      </c>
      <c r="I310" s="34"/>
      <c r="J310" s="34"/>
      <c r="K310" s="34" t="str">
        <f>IF(A310&lt;0,'CAR PROMAX FILIAL CRUZ'!O304," ")</f>
        <v xml:space="preserve"> </v>
      </c>
      <c r="L310" s="36" t="str">
        <f>IF(A310&lt;0,'CAR PROMAX FILIAL CRUZ'!P304," ")</f>
        <v xml:space="preserve"> </v>
      </c>
      <c r="M310" s="36" t="str">
        <f>IF(A310&lt;0,'CAR PROMAX FILIAL CRUZ'!Q304," ")</f>
        <v xml:space="preserve"> </v>
      </c>
      <c r="N310" s="36" t="str">
        <f>IF(A310&lt;0,'CAR PROMAX FILIAL CRUZ'!R304," ")</f>
        <v xml:space="preserve"> </v>
      </c>
      <c r="O310" s="37" t="str">
        <f>IF(A310&lt;0,'CAR PROMAX FILIAL CRUZ'!S304," ")</f>
        <v xml:space="preserve"> </v>
      </c>
      <c r="P310" s="37" t="str">
        <f>IF(A310&lt;0,'CAR PROMAX FILIAL CRUZ'!T304," ")</f>
        <v xml:space="preserve"> </v>
      </c>
      <c r="Q310" s="37" t="str">
        <f>IF(A310&lt;0,'CAR PROMAX FILIAL CRUZ'!U304," ")</f>
        <v xml:space="preserve"> </v>
      </c>
      <c r="R310" s="34" t="str">
        <f>IF(A310&lt;0,'CAR PROMAX FILIAL CRUZ'!V304," ")</f>
        <v xml:space="preserve"> </v>
      </c>
    </row>
    <row r="311" spans="1:18" x14ac:dyDescent="0.25">
      <c r="A311">
        <f>'CAR PROMAX FILIAL CRUZ'!O305</f>
        <v>0</v>
      </c>
      <c r="B311" s="33" t="str">
        <f t="shared" si="11"/>
        <v xml:space="preserve"> </v>
      </c>
      <c r="C311" s="33" t="str">
        <f t="shared" si="10"/>
        <v xml:space="preserve"> </v>
      </c>
      <c r="D311" s="34" t="str">
        <f>IF(A311&lt;0,'CAR PROMAX FILIAL CRUZ'!B305," ")</f>
        <v xml:space="preserve"> </v>
      </c>
      <c r="E311" s="35" t="str">
        <f>IF(A311&lt;0,'CAR PROMAX FILIAL CRUZ'!C305," ")</f>
        <v xml:space="preserve"> </v>
      </c>
      <c r="F311" s="34" t="str">
        <f>IF(A311&lt;0,'CAR PROMAX FILIAL CRUZ'!D305," ")</f>
        <v xml:space="preserve"> </v>
      </c>
      <c r="G311" s="34" t="str">
        <f>IF(A311&lt;0,'CAR PROMAX FILIAL CRUZ'!E305," ")</f>
        <v xml:space="preserve"> </v>
      </c>
      <c r="H311" s="34" t="str">
        <f>IF(A311&lt;0,'CAR PROMAX FILIAL CRUZ'!J305," ")</f>
        <v xml:space="preserve"> </v>
      </c>
      <c r="I311" s="34"/>
      <c r="J311" s="34"/>
      <c r="K311" s="34" t="str">
        <f>IF(A311&lt;0,'CAR PROMAX FILIAL CRUZ'!O305," ")</f>
        <v xml:space="preserve"> </v>
      </c>
      <c r="L311" s="36" t="str">
        <f>IF(A311&lt;0,'CAR PROMAX FILIAL CRUZ'!P305," ")</f>
        <v xml:space="preserve"> </v>
      </c>
      <c r="M311" s="36" t="str">
        <f>IF(A311&lt;0,'CAR PROMAX FILIAL CRUZ'!Q305," ")</f>
        <v xml:space="preserve"> </v>
      </c>
      <c r="N311" s="36" t="str">
        <f>IF(A311&lt;0,'CAR PROMAX FILIAL CRUZ'!R305," ")</f>
        <v xml:space="preserve"> </v>
      </c>
      <c r="O311" s="37" t="str">
        <f>IF(A311&lt;0,'CAR PROMAX FILIAL CRUZ'!S305," ")</f>
        <v xml:space="preserve"> </v>
      </c>
      <c r="P311" s="37" t="str">
        <f>IF(A311&lt;0,'CAR PROMAX FILIAL CRUZ'!T305," ")</f>
        <v xml:space="preserve"> </v>
      </c>
      <c r="Q311" s="37" t="str">
        <f>IF(A311&lt;0,'CAR PROMAX FILIAL CRUZ'!U305," ")</f>
        <v xml:space="preserve"> </v>
      </c>
      <c r="R311" s="34" t="str">
        <f>IF(A311&lt;0,'CAR PROMAX FILIAL CRUZ'!V305," ")</f>
        <v xml:space="preserve"> </v>
      </c>
    </row>
    <row r="312" spans="1:18" x14ac:dyDescent="0.25">
      <c r="A312">
        <f>'CAR PROMAX FILIAL CRUZ'!O306</f>
        <v>0</v>
      </c>
      <c r="B312" s="33" t="str">
        <f t="shared" si="11"/>
        <v xml:space="preserve"> </v>
      </c>
      <c r="C312" s="33" t="str">
        <f t="shared" si="10"/>
        <v xml:space="preserve"> </v>
      </c>
      <c r="D312" s="34" t="str">
        <f>IF(A312&lt;0,'CAR PROMAX FILIAL CRUZ'!B306," ")</f>
        <v xml:space="preserve"> </v>
      </c>
      <c r="E312" s="35" t="str">
        <f>IF(A312&lt;0,'CAR PROMAX FILIAL CRUZ'!C306," ")</f>
        <v xml:space="preserve"> </v>
      </c>
      <c r="F312" s="34" t="str">
        <f>IF(A312&lt;0,'CAR PROMAX FILIAL CRUZ'!D306," ")</f>
        <v xml:space="preserve"> </v>
      </c>
      <c r="G312" s="34" t="str">
        <f>IF(A312&lt;0,'CAR PROMAX FILIAL CRUZ'!E306," ")</f>
        <v xml:space="preserve"> </v>
      </c>
      <c r="H312" s="34" t="str">
        <f>IF(A312&lt;0,'CAR PROMAX FILIAL CRUZ'!J306," ")</f>
        <v xml:space="preserve"> </v>
      </c>
      <c r="I312" s="34"/>
      <c r="J312" s="34"/>
      <c r="K312" s="34" t="str">
        <f>IF(A312&lt;0,'CAR PROMAX FILIAL CRUZ'!O306," ")</f>
        <v xml:space="preserve"> </v>
      </c>
      <c r="L312" s="36" t="str">
        <f>IF(A312&lt;0,'CAR PROMAX FILIAL CRUZ'!P306," ")</f>
        <v xml:space="preserve"> </v>
      </c>
      <c r="M312" s="36" t="str">
        <f>IF(A312&lt;0,'CAR PROMAX FILIAL CRUZ'!Q306," ")</f>
        <v xml:space="preserve"> </v>
      </c>
      <c r="N312" s="36" t="str">
        <f>IF(A312&lt;0,'CAR PROMAX FILIAL CRUZ'!R306," ")</f>
        <v xml:space="preserve"> </v>
      </c>
      <c r="O312" s="37" t="str">
        <f>IF(A312&lt;0,'CAR PROMAX FILIAL CRUZ'!S306," ")</f>
        <v xml:space="preserve"> </v>
      </c>
      <c r="P312" s="37" t="str">
        <f>IF(A312&lt;0,'CAR PROMAX FILIAL CRUZ'!T306," ")</f>
        <v xml:space="preserve"> </v>
      </c>
      <c r="Q312" s="37" t="str">
        <f>IF(A312&lt;0,'CAR PROMAX FILIAL CRUZ'!U306," ")</f>
        <v xml:space="preserve"> </v>
      </c>
      <c r="R312" s="34" t="str">
        <f>IF(A312&lt;0,'CAR PROMAX FILIAL CRUZ'!V306," ")</f>
        <v xml:space="preserve"> </v>
      </c>
    </row>
    <row r="313" spans="1:18" x14ac:dyDescent="0.25">
      <c r="A313">
        <f>'CAR PROMAX FILIAL CRUZ'!O307</f>
        <v>0</v>
      </c>
      <c r="B313" s="33" t="str">
        <f t="shared" si="11"/>
        <v xml:space="preserve"> </v>
      </c>
      <c r="C313" s="33" t="str">
        <f t="shared" si="10"/>
        <v xml:space="preserve"> </v>
      </c>
      <c r="D313" s="34" t="str">
        <f>IF(A313&lt;0,'CAR PROMAX FILIAL CRUZ'!B307," ")</f>
        <v xml:space="preserve"> </v>
      </c>
      <c r="E313" s="35" t="str">
        <f>IF(A313&lt;0,'CAR PROMAX FILIAL CRUZ'!C307," ")</f>
        <v xml:space="preserve"> </v>
      </c>
      <c r="F313" s="34" t="str">
        <f>IF(A313&lt;0,'CAR PROMAX FILIAL CRUZ'!D307," ")</f>
        <v xml:space="preserve"> </v>
      </c>
      <c r="G313" s="34" t="str">
        <f>IF(A313&lt;0,'CAR PROMAX FILIAL CRUZ'!E307," ")</f>
        <v xml:space="preserve"> </v>
      </c>
      <c r="H313" s="34" t="str">
        <f>IF(A313&lt;0,'CAR PROMAX FILIAL CRUZ'!J307," ")</f>
        <v xml:space="preserve"> </v>
      </c>
      <c r="I313" s="34"/>
      <c r="J313" s="34"/>
      <c r="K313" s="34" t="str">
        <f>IF(A313&lt;0,'CAR PROMAX FILIAL CRUZ'!O307," ")</f>
        <v xml:space="preserve"> </v>
      </c>
      <c r="L313" s="36" t="str">
        <f>IF(A313&lt;0,'CAR PROMAX FILIAL CRUZ'!P307," ")</f>
        <v xml:space="preserve"> </v>
      </c>
      <c r="M313" s="36" t="str">
        <f>IF(A313&lt;0,'CAR PROMAX FILIAL CRUZ'!Q307," ")</f>
        <v xml:space="preserve"> </v>
      </c>
      <c r="N313" s="36" t="str">
        <f>IF(A313&lt;0,'CAR PROMAX FILIAL CRUZ'!R307," ")</f>
        <v xml:space="preserve"> </v>
      </c>
      <c r="O313" s="37" t="str">
        <f>IF(A313&lt;0,'CAR PROMAX FILIAL CRUZ'!S307," ")</f>
        <v xml:space="preserve"> </v>
      </c>
      <c r="P313" s="37" t="str">
        <f>IF(A313&lt;0,'CAR PROMAX FILIAL CRUZ'!T307," ")</f>
        <v xml:space="preserve"> </v>
      </c>
      <c r="Q313" s="37" t="str">
        <f>IF(A313&lt;0,'CAR PROMAX FILIAL CRUZ'!U307," ")</f>
        <v xml:space="preserve"> </v>
      </c>
      <c r="R313" s="34" t="str">
        <f>IF(A313&lt;0,'CAR PROMAX FILIAL CRUZ'!V307," ")</f>
        <v xml:space="preserve"> </v>
      </c>
    </row>
    <row r="314" spans="1:18" x14ac:dyDescent="0.25">
      <c r="A314">
        <f>'CAR PROMAX FILIAL CRUZ'!O308</f>
        <v>0</v>
      </c>
      <c r="B314" s="33" t="str">
        <f t="shared" si="11"/>
        <v xml:space="preserve"> </v>
      </c>
      <c r="C314" s="33" t="str">
        <f t="shared" si="10"/>
        <v xml:space="preserve"> </v>
      </c>
      <c r="D314" s="34" t="str">
        <f>IF(A314&lt;0,'CAR PROMAX FILIAL CRUZ'!B308," ")</f>
        <v xml:space="preserve"> </v>
      </c>
      <c r="E314" s="35" t="str">
        <f>IF(A314&lt;0,'CAR PROMAX FILIAL CRUZ'!C308," ")</f>
        <v xml:space="preserve"> </v>
      </c>
      <c r="F314" s="34" t="str">
        <f>IF(A314&lt;0,'CAR PROMAX FILIAL CRUZ'!D308," ")</f>
        <v xml:space="preserve"> </v>
      </c>
      <c r="G314" s="34" t="str">
        <f>IF(A314&lt;0,'CAR PROMAX FILIAL CRUZ'!E308," ")</f>
        <v xml:space="preserve"> </v>
      </c>
      <c r="H314" s="34" t="str">
        <f>IF(A314&lt;0,'CAR PROMAX FILIAL CRUZ'!J308," ")</f>
        <v xml:space="preserve"> </v>
      </c>
      <c r="I314" s="34"/>
      <c r="J314" s="34"/>
      <c r="K314" s="34" t="str">
        <f>IF(A314&lt;0,'CAR PROMAX FILIAL CRUZ'!O308," ")</f>
        <v xml:space="preserve"> </v>
      </c>
      <c r="L314" s="36" t="str">
        <f>IF(A314&lt;0,'CAR PROMAX FILIAL CRUZ'!P308," ")</f>
        <v xml:space="preserve"> </v>
      </c>
      <c r="M314" s="36" t="str">
        <f>IF(A314&lt;0,'CAR PROMAX FILIAL CRUZ'!Q308," ")</f>
        <v xml:space="preserve"> </v>
      </c>
      <c r="N314" s="36" t="str">
        <f>IF(A314&lt;0,'CAR PROMAX FILIAL CRUZ'!R308," ")</f>
        <v xml:space="preserve"> </v>
      </c>
      <c r="O314" s="37" t="str">
        <f>IF(A314&lt;0,'CAR PROMAX FILIAL CRUZ'!S308," ")</f>
        <v xml:space="preserve"> </v>
      </c>
      <c r="P314" s="37" t="str">
        <f>IF(A314&lt;0,'CAR PROMAX FILIAL CRUZ'!T308," ")</f>
        <v xml:space="preserve"> </v>
      </c>
      <c r="Q314" s="37" t="str">
        <f>IF(A314&lt;0,'CAR PROMAX FILIAL CRUZ'!U308," ")</f>
        <v xml:space="preserve"> </v>
      </c>
      <c r="R314" s="34" t="str">
        <f>IF(A314&lt;0,'CAR PROMAX FILIAL CRUZ'!V308," ")</f>
        <v xml:space="preserve"> </v>
      </c>
    </row>
    <row r="315" spans="1:18" x14ac:dyDescent="0.25">
      <c r="A315">
        <f>'CAR PROMAX FILIAL CRUZ'!O309</f>
        <v>0</v>
      </c>
      <c r="B315" s="33" t="str">
        <f t="shared" si="11"/>
        <v xml:space="preserve"> </v>
      </c>
      <c r="C315" s="33" t="str">
        <f t="shared" si="10"/>
        <v xml:space="preserve"> </v>
      </c>
      <c r="D315" s="34" t="str">
        <f>IF(A315&lt;0,'CAR PROMAX FILIAL CRUZ'!B309," ")</f>
        <v xml:space="preserve"> </v>
      </c>
      <c r="E315" s="35" t="str">
        <f>IF(A315&lt;0,'CAR PROMAX FILIAL CRUZ'!C309," ")</f>
        <v xml:space="preserve"> </v>
      </c>
      <c r="F315" s="34" t="str">
        <f>IF(A315&lt;0,'CAR PROMAX FILIAL CRUZ'!D309," ")</f>
        <v xml:space="preserve"> </v>
      </c>
      <c r="G315" s="34" t="str">
        <f>IF(A315&lt;0,'CAR PROMAX FILIAL CRUZ'!E309," ")</f>
        <v xml:space="preserve"> </v>
      </c>
      <c r="H315" s="34" t="str">
        <f>IF(A315&lt;0,'CAR PROMAX FILIAL CRUZ'!J309," ")</f>
        <v xml:space="preserve"> </v>
      </c>
      <c r="I315" s="34"/>
      <c r="J315" s="34"/>
      <c r="K315" s="34" t="str">
        <f>IF(A315&lt;0,'CAR PROMAX FILIAL CRUZ'!O309," ")</f>
        <v xml:space="preserve"> </v>
      </c>
      <c r="L315" s="36" t="str">
        <f>IF(A315&lt;0,'CAR PROMAX FILIAL CRUZ'!P309," ")</f>
        <v xml:space="preserve"> </v>
      </c>
      <c r="M315" s="36" t="str">
        <f>IF(A315&lt;0,'CAR PROMAX FILIAL CRUZ'!Q309," ")</f>
        <v xml:space="preserve"> </v>
      </c>
      <c r="N315" s="36" t="str">
        <f>IF(A315&lt;0,'CAR PROMAX FILIAL CRUZ'!R309," ")</f>
        <v xml:space="preserve"> </v>
      </c>
      <c r="O315" s="37" t="str">
        <f>IF(A315&lt;0,'CAR PROMAX FILIAL CRUZ'!S309," ")</f>
        <v xml:space="preserve"> </v>
      </c>
      <c r="P315" s="37" t="str">
        <f>IF(A315&lt;0,'CAR PROMAX FILIAL CRUZ'!T309," ")</f>
        <v xml:space="preserve"> </v>
      </c>
      <c r="Q315" s="37" t="str">
        <f>IF(A315&lt;0,'CAR PROMAX FILIAL CRUZ'!U309," ")</f>
        <v xml:space="preserve"> </v>
      </c>
      <c r="R315" s="34" t="str">
        <f>IF(A315&lt;0,'CAR PROMAX FILIAL CRUZ'!V309," ")</f>
        <v xml:space="preserve"> </v>
      </c>
    </row>
    <row r="316" spans="1:18" x14ac:dyDescent="0.25">
      <c r="A316">
        <f>'CAR PROMAX FILIAL CRUZ'!O310</f>
        <v>0</v>
      </c>
      <c r="B316" s="33" t="str">
        <f t="shared" si="11"/>
        <v xml:space="preserve"> </v>
      </c>
      <c r="C316" s="33" t="str">
        <f t="shared" si="10"/>
        <v xml:space="preserve"> </v>
      </c>
      <c r="D316" s="34" t="str">
        <f>IF(A316&lt;0,'CAR PROMAX FILIAL CRUZ'!B310," ")</f>
        <v xml:space="preserve"> </v>
      </c>
      <c r="E316" s="35" t="str">
        <f>IF(A316&lt;0,'CAR PROMAX FILIAL CRUZ'!C310," ")</f>
        <v xml:space="preserve"> </v>
      </c>
      <c r="F316" s="34" t="str">
        <f>IF(A316&lt;0,'CAR PROMAX FILIAL CRUZ'!D310," ")</f>
        <v xml:space="preserve"> </v>
      </c>
      <c r="G316" s="34" t="str">
        <f>IF(A316&lt;0,'CAR PROMAX FILIAL CRUZ'!E310," ")</f>
        <v xml:space="preserve"> </v>
      </c>
      <c r="H316" s="34" t="str">
        <f>IF(A316&lt;0,'CAR PROMAX FILIAL CRUZ'!J310," ")</f>
        <v xml:space="preserve"> </v>
      </c>
      <c r="I316" s="34"/>
      <c r="J316" s="34"/>
      <c r="K316" s="34" t="str">
        <f>IF(A316&lt;0,'CAR PROMAX FILIAL CRUZ'!O310," ")</f>
        <v xml:space="preserve"> </v>
      </c>
      <c r="L316" s="36" t="str">
        <f>IF(A316&lt;0,'CAR PROMAX FILIAL CRUZ'!P310," ")</f>
        <v xml:space="preserve"> </v>
      </c>
      <c r="M316" s="36" t="str">
        <f>IF(A316&lt;0,'CAR PROMAX FILIAL CRUZ'!Q310," ")</f>
        <v xml:space="preserve"> </v>
      </c>
      <c r="N316" s="36" t="str">
        <f>IF(A316&lt;0,'CAR PROMAX FILIAL CRUZ'!R310," ")</f>
        <v xml:space="preserve"> </v>
      </c>
      <c r="O316" s="37" t="str">
        <f>IF(A316&lt;0,'CAR PROMAX FILIAL CRUZ'!S310," ")</f>
        <v xml:space="preserve"> </v>
      </c>
      <c r="P316" s="37" t="str">
        <f>IF(A316&lt;0,'CAR PROMAX FILIAL CRUZ'!T310," ")</f>
        <v xml:space="preserve"> </v>
      </c>
      <c r="Q316" s="37" t="str">
        <f>IF(A316&lt;0,'CAR PROMAX FILIAL CRUZ'!U310," ")</f>
        <v xml:space="preserve"> </v>
      </c>
      <c r="R316" s="34" t="str">
        <f>IF(A316&lt;0,'CAR PROMAX FILIAL CRUZ'!V310," ")</f>
        <v xml:space="preserve"> </v>
      </c>
    </row>
    <row r="317" spans="1:18" x14ac:dyDescent="0.25">
      <c r="A317">
        <f>'CAR PROMAX FILIAL CRUZ'!O311</f>
        <v>0</v>
      </c>
      <c r="B317" s="33" t="str">
        <f t="shared" si="11"/>
        <v xml:space="preserve"> </v>
      </c>
      <c r="C317" s="33" t="str">
        <f t="shared" si="10"/>
        <v xml:space="preserve"> </v>
      </c>
      <c r="D317" s="34" t="str">
        <f>IF(A317&lt;0,'CAR PROMAX FILIAL CRUZ'!B311," ")</f>
        <v xml:space="preserve"> </v>
      </c>
      <c r="E317" s="35" t="str">
        <f>IF(A317&lt;0,'CAR PROMAX FILIAL CRUZ'!C311," ")</f>
        <v xml:space="preserve"> </v>
      </c>
      <c r="F317" s="34" t="str">
        <f>IF(A317&lt;0,'CAR PROMAX FILIAL CRUZ'!D311," ")</f>
        <v xml:space="preserve"> </v>
      </c>
      <c r="G317" s="34" t="str">
        <f>IF(A317&lt;0,'CAR PROMAX FILIAL CRUZ'!E311," ")</f>
        <v xml:space="preserve"> </v>
      </c>
      <c r="H317" s="34" t="str">
        <f>IF(A317&lt;0,'CAR PROMAX FILIAL CRUZ'!J311," ")</f>
        <v xml:space="preserve"> </v>
      </c>
      <c r="I317" s="34"/>
      <c r="J317" s="34"/>
      <c r="K317" s="34" t="str">
        <f>IF(A317&lt;0,'CAR PROMAX FILIAL CRUZ'!O311," ")</f>
        <v xml:space="preserve"> </v>
      </c>
      <c r="L317" s="36" t="str">
        <f>IF(A317&lt;0,'CAR PROMAX FILIAL CRUZ'!P311," ")</f>
        <v xml:space="preserve"> </v>
      </c>
      <c r="M317" s="36" t="str">
        <f>IF(A317&lt;0,'CAR PROMAX FILIAL CRUZ'!Q311," ")</f>
        <v xml:space="preserve"> </v>
      </c>
      <c r="N317" s="36" t="str">
        <f>IF(A317&lt;0,'CAR PROMAX FILIAL CRUZ'!R311," ")</f>
        <v xml:space="preserve"> </v>
      </c>
      <c r="O317" s="37" t="str">
        <f>IF(A317&lt;0,'CAR PROMAX FILIAL CRUZ'!S311," ")</f>
        <v xml:space="preserve"> </v>
      </c>
      <c r="P317" s="37" t="str">
        <f>IF(A317&lt;0,'CAR PROMAX FILIAL CRUZ'!T311," ")</f>
        <v xml:space="preserve"> </v>
      </c>
      <c r="Q317" s="37" t="str">
        <f>IF(A317&lt;0,'CAR PROMAX FILIAL CRUZ'!U311," ")</f>
        <v xml:space="preserve"> </v>
      </c>
      <c r="R317" s="34" t="str">
        <f>IF(A317&lt;0,'CAR PROMAX FILIAL CRUZ'!V311," ")</f>
        <v xml:space="preserve"> </v>
      </c>
    </row>
    <row r="318" spans="1:18" x14ac:dyDescent="0.25">
      <c r="A318">
        <f>'CAR PROMAX FILIAL CRUZ'!O312</f>
        <v>0</v>
      </c>
      <c r="B318" s="33" t="str">
        <f t="shared" si="11"/>
        <v xml:space="preserve"> </v>
      </c>
      <c r="C318" s="33" t="str">
        <f t="shared" si="10"/>
        <v xml:space="preserve"> </v>
      </c>
      <c r="D318" s="34" t="str">
        <f>IF(A318&lt;0,'CAR PROMAX FILIAL CRUZ'!B312," ")</f>
        <v xml:space="preserve"> </v>
      </c>
      <c r="E318" s="35" t="str">
        <f>IF(A318&lt;0,'CAR PROMAX FILIAL CRUZ'!C312," ")</f>
        <v xml:space="preserve"> </v>
      </c>
      <c r="F318" s="34" t="str">
        <f>IF(A318&lt;0,'CAR PROMAX FILIAL CRUZ'!D312," ")</f>
        <v xml:space="preserve"> </v>
      </c>
      <c r="G318" s="34" t="str">
        <f>IF(A318&lt;0,'CAR PROMAX FILIAL CRUZ'!E312," ")</f>
        <v xml:space="preserve"> </v>
      </c>
      <c r="H318" s="34" t="str">
        <f>IF(A318&lt;0,'CAR PROMAX FILIAL CRUZ'!J312," ")</f>
        <v xml:space="preserve"> </v>
      </c>
      <c r="I318" s="34"/>
      <c r="J318" s="34"/>
      <c r="K318" s="34" t="str">
        <f>IF(A318&lt;0,'CAR PROMAX FILIAL CRUZ'!O312," ")</f>
        <v xml:space="preserve"> </v>
      </c>
      <c r="L318" s="36" t="str">
        <f>IF(A318&lt;0,'CAR PROMAX FILIAL CRUZ'!P312," ")</f>
        <v xml:space="preserve"> </v>
      </c>
      <c r="M318" s="36" t="str">
        <f>IF(A318&lt;0,'CAR PROMAX FILIAL CRUZ'!Q312," ")</f>
        <v xml:space="preserve"> </v>
      </c>
      <c r="N318" s="36" t="str">
        <f>IF(A318&lt;0,'CAR PROMAX FILIAL CRUZ'!R312," ")</f>
        <v xml:space="preserve"> </v>
      </c>
      <c r="O318" s="37" t="str">
        <f>IF(A318&lt;0,'CAR PROMAX FILIAL CRUZ'!S312," ")</f>
        <v xml:space="preserve"> </v>
      </c>
      <c r="P318" s="37" t="str">
        <f>IF(A318&lt;0,'CAR PROMAX FILIAL CRUZ'!T312," ")</f>
        <v xml:space="preserve"> </v>
      </c>
      <c r="Q318" s="37" t="str">
        <f>IF(A318&lt;0,'CAR PROMAX FILIAL CRUZ'!U312," ")</f>
        <v xml:space="preserve"> </v>
      </c>
      <c r="R318" s="34" t="str">
        <f>IF(A318&lt;0,'CAR PROMAX FILIAL CRUZ'!V312," ")</f>
        <v xml:space="preserve"> </v>
      </c>
    </row>
    <row r="319" spans="1:18" x14ac:dyDescent="0.25">
      <c r="A319">
        <f>'CAR PROMAX FILIAL CRUZ'!O313</f>
        <v>0</v>
      </c>
      <c r="B319" s="33" t="str">
        <f t="shared" si="11"/>
        <v xml:space="preserve"> </v>
      </c>
      <c r="C319" s="33" t="str">
        <f t="shared" si="10"/>
        <v xml:space="preserve"> </v>
      </c>
      <c r="D319" s="34" t="str">
        <f>IF(A319&lt;0,'CAR PROMAX FILIAL CRUZ'!B313," ")</f>
        <v xml:space="preserve"> </v>
      </c>
      <c r="E319" s="35" t="str">
        <f>IF(A319&lt;0,'CAR PROMAX FILIAL CRUZ'!C313," ")</f>
        <v xml:space="preserve"> </v>
      </c>
      <c r="F319" s="34" t="str">
        <f>IF(A319&lt;0,'CAR PROMAX FILIAL CRUZ'!D313," ")</f>
        <v xml:space="preserve"> </v>
      </c>
      <c r="G319" s="34" t="str">
        <f>IF(A319&lt;0,'CAR PROMAX FILIAL CRUZ'!E313," ")</f>
        <v xml:space="preserve"> </v>
      </c>
      <c r="H319" s="34" t="str">
        <f>IF(A319&lt;0,'CAR PROMAX FILIAL CRUZ'!J313," ")</f>
        <v xml:space="preserve"> </v>
      </c>
      <c r="I319" s="34"/>
      <c r="J319" s="34"/>
      <c r="K319" s="34" t="str">
        <f>IF(A319&lt;0,'CAR PROMAX FILIAL CRUZ'!O313," ")</f>
        <v xml:space="preserve"> </v>
      </c>
      <c r="L319" s="36" t="str">
        <f>IF(A319&lt;0,'CAR PROMAX FILIAL CRUZ'!P313," ")</f>
        <v xml:space="preserve"> </v>
      </c>
      <c r="M319" s="36" t="str">
        <f>IF(A319&lt;0,'CAR PROMAX FILIAL CRUZ'!Q313," ")</f>
        <v xml:space="preserve"> </v>
      </c>
      <c r="N319" s="36" t="str">
        <f>IF(A319&lt;0,'CAR PROMAX FILIAL CRUZ'!R313," ")</f>
        <v xml:space="preserve"> </v>
      </c>
      <c r="O319" s="37" t="str">
        <f>IF(A319&lt;0,'CAR PROMAX FILIAL CRUZ'!S313," ")</f>
        <v xml:space="preserve"> </v>
      </c>
      <c r="P319" s="37" t="str">
        <f>IF(A319&lt;0,'CAR PROMAX FILIAL CRUZ'!T313," ")</f>
        <v xml:space="preserve"> </v>
      </c>
      <c r="Q319" s="37" t="str">
        <f>IF(A319&lt;0,'CAR PROMAX FILIAL CRUZ'!U313," ")</f>
        <v xml:space="preserve"> </v>
      </c>
      <c r="R319" s="34" t="str">
        <f>IF(A319&lt;0,'CAR PROMAX FILIAL CRUZ'!V313," ")</f>
        <v xml:space="preserve"> </v>
      </c>
    </row>
    <row r="320" spans="1:18" x14ac:dyDescent="0.25">
      <c r="A320">
        <f>'CAR PROMAX FILIAL CRUZ'!O314</f>
        <v>0</v>
      </c>
      <c r="B320" s="33" t="str">
        <f t="shared" si="11"/>
        <v xml:space="preserve"> </v>
      </c>
      <c r="C320" s="33" t="str">
        <f t="shared" si="10"/>
        <v xml:space="preserve"> </v>
      </c>
      <c r="D320" s="34" t="str">
        <f>IF(A320&lt;0,'CAR PROMAX FILIAL CRUZ'!B314," ")</f>
        <v xml:space="preserve"> </v>
      </c>
      <c r="E320" s="35" t="str">
        <f>IF(A320&lt;0,'CAR PROMAX FILIAL CRUZ'!C314," ")</f>
        <v xml:space="preserve"> </v>
      </c>
      <c r="F320" s="34" t="str">
        <f>IF(A320&lt;0,'CAR PROMAX FILIAL CRUZ'!D314," ")</f>
        <v xml:space="preserve"> </v>
      </c>
      <c r="G320" s="34" t="str">
        <f>IF(A320&lt;0,'CAR PROMAX FILIAL CRUZ'!E314," ")</f>
        <v xml:space="preserve"> </v>
      </c>
      <c r="H320" s="34" t="str">
        <f>IF(A320&lt;0,'CAR PROMAX FILIAL CRUZ'!J314," ")</f>
        <v xml:space="preserve"> </v>
      </c>
      <c r="I320" s="34"/>
      <c r="J320" s="34"/>
      <c r="K320" s="34" t="str">
        <f>IF(A320&lt;0,'CAR PROMAX FILIAL CRUZ'!O314," ")</f>
        <v xml:space="preserve"> </v>
      </c>
      <c r="L320" s="36" t="str">
        <f>IF(A320&lt;0,'CAR PROMAX FILIAL CRUZ'!P314," ")</f>
        <v xml:space="preserve"> </v>
      </c>
      <c r="M320" s="36" t="str">
        <f>IF(A320&lt;0,'CAR PROMAX FILIAL CRUZ'!Q314," ")</f>
        <v xml:space="preserve"> </v>
      </c>
      <c r="N320" s="36" t="str">
        <f>IF(A320&lt;0,'CAR PROMAX FILIAL CRUZ'!R314," ")</f>
        <v xml:space="preserve"> </v>
      </c>
      <c r="O320" s="37" t="str">
        <f>IF(A320&lt;0,'CAR PROMAX FILIAL CRUZ'!S314," ")</f>
        <v xml:space="preserve"> </v>
      </c>
      <c r="P320" s="37" t="str">
        <f>IF(A320&lt;0,'CAR PROMAX FILIAL CRUZ'!T314," ")</f>
        <v xml:space="preserve"> </v>
      </c>
      <c r="Q320" s="37" t="str">
        <f>IF(A320&lt;0,'CAR PROMAX FILIAL CRUZ'!U314," ")</f>
        <v xml:space="preserve"> </v>
      </c>
      <c r="R320" s="34" t="str">
        <f>IF(A320&lt;0,'CAR PROMAX FILIAL CRUZ'!V314," ")</f>
        <v xml:space="preserve"> </v>
      </c>
    </row>
    <row r="321" spans="1:18" x14ac:dyDescent="0.25">
      <c r="A321">
        <f>'CAR PROMAX FILIAL CRUZ'!O315</f>
        <v>0</v>
      </c>
      <c r="B321" s="33" t="str">
        <f t="shared" si="11"/>
        <v xml:space="preserve"> </v>
      </c>
      <c r="C321" s="33" t="str">
        <f t="shared" si="10"/>
        <v xml:space="preserve"> </v>
      </c>
      <c r="D321" s="34" t="str">
        <f>IF(A321&lt;0,'CAR PROMAX FILIAL CRUZ'!B315," ")</f>
        <v xml:space="preserve"> </v>
      </c>
      <c r="E321" s="35" t="str">
        <f>IF(A321&lt;0,'CAR PROMAX FILIAL CRUZ'!C315," ")</f>
        <v xml:space="preserve"> </v>
      </c>
      <c r="F321" s="34" t="str">
        <f>IF(A321&lt;0,'CAR PROMAX FILIAL CRUZ'!D315," ")</f>
        <v xml:space="preserve"> </v>
      </c>
      <c r="G321" s="34" t="str">
        <f>IF(A321&lt;0,'CAR PROMAX FILIAL CRUZ'!E315," ")</f>
        <v xml:space="preserve"> </v>
      </c>
      <c r="H321" s="34" t="str">
        <f>IF(A321&lt;0,'CAR PROMAX FILIAL CRUZ'!J315," ")</f>
        <v xml:space="preserve"> </v>
      </c>
      <c r="I321" s="34"/>
      <c r="J321" s="34"/>
      <c r="K321" s="34" t="str">
        <f>IF(A321&lt;0,'CAR PROMAX FILIAL CRUZ'!O315," ")</f>
        <v xml:space="preserve"> </v>
      </c>
      <c r="L321" s="36" t="str">
        <f>IF(A321&lt;0,'CAR PROMAX FILIAL CRUZ'!P315," ")</f>
        <v xml:space="preserve"> </v>
      </c>
      <c r="M321" s="36" t="str">
        <f>IF(A321&lt;0,'CAR PROMAX FILIAL CRUZ'!Q315," ")</f>
        <v xml:space="preserve"> </v>
      </c>
      <c r="N321" s="36" t="str">
        <f>IF(A321&lt;0,'CAR PROMAX FILIAL CRUZ'!R315," ")</f>
        <v xml:space="preserve"> </v>
      </c>
      <c r="O321" s="37" t="str">
        <f>IF(A321&lt;0,'CAR PROMAX FILIAL CRUZ'!S315," ")</f>
        <v xml:space="preserve"> </v>
      </c>
      <c r="P321" s="37" t="str">
        <f>IF(A321&lt;0,'CAR PROMAX FILIAL CRUZ'!T315," ")</f>
        <v xml:space="preserve"> </v>
      </c>
      <c r="Q321" s="37" t="str">
        <f>IF(A321&lt;0,'CAR PROMAX FILIAL CRUZ'!U315," ")</f>
        <v xml:space="preserve"> </v>
      </c>
      <c r="R321" s="34" t="str">
        <f>IF(A321&lt;0,'CAR PROMAX FILIAL CRUZ'!V315," ")</f>
        <v xml:space="preserve"> </v>
      </c>
    </row>
    <row r="322" spans="1:18" x14ac:dyDescent="0.25">
      <c r="A322">
        <f>'CAR PROMAX FILIAL CRUZ'!O316</f>
        <v>0</v>
      </c>
      <c r="B322" s="33" t="str">
        <f t="shared" si="11"/>
        <v xml:space="preserve"> </v>
      </c>
      <c r="C322" s="33" t="str">
        <f t="shared" si="10"/>
        <v xml:space="preserve"> </v>
      </c>
      <c r="D322" s="34" t="str">
        <f>IF(A322&lt;0,'CAR PROMAX FILIAL CRUZ'!B316," ")</f>
        <v xml:space="preserve"> </v>
      </c>
      <c r="E322" s="35" t="str">
        <f>IF(A322&lt;0,'CAR PROMAX FILIAL CRUZ'!C316," ")</f>
        <v xml:space="preserve"> </v>
      </c>
      <c r="F322" s="34" t="str">
        <f>IF(A322&lt;0,'CAR PROMAX FILIAL CRUZ'!D316," ")</f>
        <v xml:space="preserve"> </v>
      </c>
      <c r="G322" s="34" t="str">
        <f>IF(A322&lt;0,'CAR PROMAX FILIAL CRUZ'!E316," ")</f>
        <v xml:space="preserve"> </v>
      </c>
      <c r="H322" s="34" t="str">
        <f>IF(A322&lt;0,'CAR PROMAX FILIAL CRUZ'!J316," ")</f>
        <v xml:space="preserve"> </v>
      </c>
      <c r="I322" s="34"/>
      <c r="J322" s="34"/>
      <c r="K322" s="34" t="str">
        <f>IF(A322&lt;0,'CAR PROMAX FILIAL CRUZ'!O316," ")</f>
        <v xml:space="preserve"> </v>
      </c>
      <c r="L322" s="36" t="str">
        <f>IF(A322&lt;0,'CAR PROMAX FILIAL CRUZ'!P316," ")</f>
        <v xml:space="preserve"> </v>
      </c>
      <c r="M322" s="36" t="str">
        <f>IF(A322&lt;0,'CAR PROMAX FILIAL CRUZ'!Q316," ")</f>
        <v xml:space="preserve"> </v>
      </c>
      <c r="N322" s="36" t="str">
        <f>IF(A322&lt;0,'CAR PROMAX FILIAL CRUZ'!R316," ")</f>
        <v xml:space="preserve"> </v>
      </c>
      <c r="O322" s="37" t="str">
        <f>IF(A322&lt;0,'CAR PROMAX FILIAL CRUZ'!S316," ")</f>
        <v xml:space="preserve"> </v>
      </c>
      <c r="P322" s="37" t="str">
        <f>IF(A322&lt;0,'CAR PROMAX FILIAL CRUZ'!T316," ")</f>
        <v xml:space="preserve"> </v>
      </c>
      <c r="Q322" s="37" t="str">
        <f>IF(A322&lt;0,'CAR PROMAX FILIAL CRUZ'!U316," ")</f>
        <v xml:space="preserve"> </v>
      </c>
      <c r="R322" s="34" t="str">
        <f>IF(A322&lt;0,'CAR PROMAX FILIAL CRUZ'!V316," ")</f>
        <v xml:space="preserve"> </v>
      </c>
    </row>
    <row r="323" spans="1:18" x14ac:dyDescent="0.25">
      <c r="A323">
        <f>'CAR PROMAX FILIAL CRUZ'!O317</f>
        <v>0</v>
      </c>
      <c r="B323" s="33" t="str">
        <f t="shared" si="11"/>
        <v xml:space="preserve"> </v>
      </c>
      <c r="C323" s="33" t="str">
        <f t="shared" si="10"/>
        <v xml:space="preserve"> </v>
      </c>
      <c r="D323" s="34" t="str">
        <f>IF(A323&lt;0,'CAR PROMAX FILIAL CRUZ'!B317," ")</f>
        <v xml:space="preserve"> </v>
      </c>
      <c r="E323" s="35" t="str">
        <f>IF(A323&lt;0,'CAR PROMAX FILIAL CRUZ'!C317," ")</f>
        <v xml:space="preserve"> </v>
      </c>
      <c r="F323" s="34" t="str">
        <f>IF(A323&lt;0,'CAR PROMAX FILIAL CRUZ'!D317," ")</f>
        <v xml:space="preserve"> </v>
      </c>
      <c r="G323" s="34" t="str">
        <f>IF(A323&lt;0,'CAR PROMAX FILIAL CRUZ'!E317," ")</f>
        <v xml:space="preserve"> </v>
      </c>
      <c r="H323" s="34" t="str">
        <f>IF(A323&lt;0,'CAR PROMAX FILIAL CRUZ'!J317," ")</f>
        <v xml:space="preserve"> </v>
      </c>
      <c r="I323" s="34"/>
      <c r="J323" s="34"/>
      <c r="K323" s="34" t="str">
        <f>IF(A323&lt;0,'CAR PROMAX FILIAL CRUZ'!O317," ")</f>
        <v xml:space="preserve"> </v>
      </c>
      <c r="L323" s="36" t="str">
        <f>IF(A323&lt;0,'CAR PROMAX FILIAL CRUZ'!P317," ")</f>
        <v xml:space="preserve"> </v>
      </c>
      <c r="M323" s="36" t="str">
        <f>IF(A323&lt;0,'CAR PROMAX FILIAL CRUZ'!Q317," ")</f>
        <v xml:space="preserve"> </v>
      </c>
      <c r="N323" s="36" t="str">
        <f>IF(A323&lt;0,'CAR PROMAX FILIAL CRUZ'!R317," ")</f>
        <v xml:space="preserve"> </v>
      </c>
      <c r="O323" s="37" t="str">
        <f>IF(A323&lt;0,'CAR PROMAX FILIAL CRUZ'!S317," ")</f>
        <v xml:space="preserve"> </v>
      </c>
      <c r="P323" s="37" t="str">
        <f>IF(A323&lt;0,'CAR PROMAX FILIAL CRUZ'!T317," ")</f>
        <v xml:space="preserve"> </v>
      </c>
      <c r="Q323" s="37" t="str">
        <f>IF(A323&lt;0,'CAR PROMAX FILIAL CRUZ'!U317," ")</f>
        <v xml:space="preserve"> </v>
      </c>
      <c r="R323" s="34" t="str">
        <f>IF(A323&lt;0,'CAR PROMAX FILIAL CRUZ'!V317," ")</f>
        <v xml:space="preserve"> </v>
      </c>
    </row>
    <row r="324" spans="1:18" x14ac:dyDescent="0.25">
      <c r="A324">
        <f>'CAR PROMAX FILIAL CRUZ'!O318</f>
        <v>0</v>
      </c>
      <c r="B324" s="33" t="str">
        <f t="shared" si="11"/>
        <v xml:space="preserve"> </v>
      </c>
      <c r="C324" s="33" t="str">
        <f t="shared" si="10"/>
        <v xml:space="preserve"> </v>
      </c>
      <c r="D324" s="34" t="str">
        <f>IF(A324&lt;0,'CAR PROMAX FILIAL CRUZ'!B318," ")</f>
        <v xml:space="preserve"> </v>
      </c>
      <c r="E324" s="35" t="str">
        <f>IF(A324&lt;0,'CAR PROMAX FILIAL CRUZ'!C318," ")</f>
        <v xml:space="preserve"> </v>
      </c>
      <c r="F324" s="34" t="str">
        <f>IF(A324&lt;0,'CAR PROMAX FILIAL CRUZ'!D318," ")</f>
        <v xml:space="preserve"> </v>
      </c>
      <c r="G324" s="34" t="str">
        <f>IF(A324&lt;0,'CAR PROMAX FILIAL CRUZ'!E318," ")</f>
        <v xml:space="preserve"> </v>
      </c>
      <c r="H324" s="34" t="str">
        <f>IF(A324&lt;0,'CAR PROMAX FILIAL CRUZ'!J318," ")</f>
        <v xml:space="preserve"> </v>
      </c>
      <c r="I324" s="34"/>
      <c r="J324" s="34"/>
      <c r="K324" s="34" t="str">
        <f>IF(A324&lt;0,'CAR PROMAX FILIAL CRUZ'!O318," ")</f>
        <v xml:space="preserve"> </v>
      </c>
      <c r="L324" s="36" t="str">
        <f>IF(A324&lt;0,'CAR PROMAX FILIAL CRUZ'!P318," ")</f>
        <v xml:space="preserve"> </v>
      </c>
      <c r="M324" s="36" t="str">
        <f>IF(A324&lt;0,'CAR PROMAX FILIAL CRUZ'!Q318," ")</f>
        <v xml:space="preserve"> </v>
      </c>
      <c r="N324" s="36" t="str">
        <f>IF(A324&lt;0,'CAR PROMAX FILIAL CRUZ'!R318," ")</f>
        <v xml:space="preserve"> </v>
      </c>
      <c r="O324" s="37" t="str">
        <f>IF(A324&lt;0,'CAR PROMAX FILIAL CRUZ'!S318," ")</f>
        <v xml:space="preserve"> </v>
      </c>
      <c r="P324" s="37" t="str">
        <f>IF(A324&lt;0,'CAR PROMAX FILIAL CRUZ'!T318," ")</f>
        <v xml:space="preserve"> </v>
      </c>
      <c r="Q324" s="37" t="str">
        <f>IF(A324&lt;0,'CAR PROMAX FILIAL CRUZ'!U318," ")</f>
        <v xml:space="preserve"> </v>
      </c>
      <c r="R324" s="34" t="str">
        <f>IF(A324&lt;0,'CAR PROMAX FILIAL CRUZ'!V318," ")</f>
        <v xml:space="preserve"> </v>
      </c>
    </row>
    <row r="325" spans="1:18" x14ac:dyDescent="0.25">
      <c r="A325">
        <f>'CAR PROMAX FILIAL CRUZ'!O319</f>
        <v>0</v>
      </c>
      <c r="B325" s="33" t="str">
        <f t="shared" si="11"/>
        <v xml:space="preserve"> </v>
      </c>
      <c r="C325" s="33" t="str">
        <f t="shared" si="10"/>
        <v xml:space="preserve"> </v>
      </c>
      <c r="D325" s="34" t="str">
        <f>IF(A325&lt;0,'CAR PROMAX FILIAL CRUZ'!B319," ")</f>
        <v xml:space="preserve"> </v>
      </c>
      <c r="E325" s="35" t="str">
        <f>IF(A325&lt;0,'CAR PROMAX FILIAL CRUZ'!C319," ")</f>
        <v xml:space="preserve"> </v>
      </c>
      <c r="F325" s="34" t="str">
        <f>IF(A325&lt;0,'CAR PROMAX FILIAL CRUZ'!D319," ")</f>
        <v xml:space="preserve"> </v>
      </c>
      <c r="G325" s="34" t="str">
        <f>IF(A325&lt;0,'CAR PROMAX FILIAL CRUZ'!E319," ")</f>
        <v xml:space="preserve"> </v>
      </c>
      <c r="H325" s="34" t="str">
        <f>IF(A325&lt;0,'CAR PROMAX FILIAL CRUZ'!J319," ")</f>
        <v xml:space="preserve"> </v>
      </c>
      <c r="I325" s="34"/>
      <c r="J325" s="34"/>
      <c r="K325" s="34" t="str">
        <f>IF(A325&lt;0,'CAR PROMAX FILIAL CRUZ'!O319," ")</f>
        <v xml:space="preserve"> </v>
      </c>
      <c r="L325" s="36" t="str">
        <f>IF(A325&lt;0,'CAR PROMAX FILIAL CRUZ'!P319," ")</f>
        <v xml:space="preserve"> </v>
      </c>
      <c r="M325" s="36" t="str">
        <f>IF(A325&lt;0,'CAR PROMAX FILIAL CRUZ'!Q319," ")</f>
        <v xml:space="preserve"> </v>
      </c>
      <c r="N325" s="36" t="str">
        <f>IF(A325&lt;0,'CAR PROMAX FILIAL CRUZ'!R319," ")</f>
        <v xml:space="preserve"> </v>
      </c>
      <c r="O325" s="37" t="str">
        <f>IF(A325&lt;0,'CAR PROMAX FILIAL CRUZ'!S319," ")</f>
        <v xml:space="preserve"> </v>
      </c>
      <c r="P325" s="37" t="str">
        <f>IF(A325&lt;0,'CAR PROMAX FILIAL CRUZ'!T319," ")</f>
        <v xml:space="preserve"> </v>
      </c>
      <c r="Q325" s="37" t="str">
        <f>IF(A325&lt;0,'CAR PROMAX FILIAL CRUZ'!U319," ")</f>
        <v xml:space="preserve"> </v>
      </c>
      <c r="R325" s="34" t="str">
        <f>IF(A325&lt;0,'CAR PROMAX FILIAL CRUZ'!V319," ")</f>
        <v xml:space="preserve"> </v>
      </c>
    </row>
    <row r="326" spans="1:18" x14ac:dyDescent="0.25">
      <c r="A326">
        <f>'CAR PROMAX FILIAL CRUZ'!O320</f>
        <v>0</v>
      </c>
      <c r="B326" s="33" t="str">
        <f t="shared" si="11"/>
        <v xml:space="preserve"> </v>
      </c>
      <c r="C326" s="33" t="str">
        <f t="shared" si="10"/>
        <v xml:space="preserve"> </v>
      </c>
      <c r="D326" s="34" t="str">
        <f>IF(A326&lt;0,'CAR PROMAX FILIAL CRUZ'!B320," ")</f>
        <v xml:space="preserve"> </v>
      </c>
      <c r="E326" s="35" t="str">
        <f>IF(A326&lt;0,'CAR PROMAX FILIAL CRUZ'!C320," ")</f>
        <v xml:space="preserve"> </v>
      </c>
      <c r="F326" s="34" t="str">
        <f>IF(A326&lt;0,'CAR PROMAX FILIAL CRUZ'!D320," ")</f>
        <v xml:space="preserve"> </v>
      </c>
      <c r="G326" s="34" t="str">
        <f>IF(A326&lt;0,'CAR PROMAX FILIAL CRUZ'!E320," ")</f>
        <v xml:space="preserve"> </v>
      </c>
      <c r="H326" s="34" t="str">
        <f>IF(A326&lt;0,'CAR PROMAX FILIAL CRUZ'!J320," ")</f>
        <v xml:space="preserve"> </v>
      </c>
      <c r="I326" s="34"/>
      <c r="J326" s="34"/>
      <c r="K326" s="34" t="str">
        <f>IF(A326&lt;0,'CAR PROMAX FILIAL CRUZ'!O320," ")</f>
        <v xml:space="preserve"> </v>
      </c>
      <c r="L326" s="36" t="str">
        <f>IF(A326&lt;0,'CAR PROMAX FILIAL CRUZ'!P320," ")</f>
        <v xml:space="preserve"> </v>
      </c>
      <c r="M326" s="36" t="str">
        <f>IF(A326&lt;0,'CAR PROMAX FILIAL CRUZ'!Q320," ")</f>
        <v xml:space="preserve"> </v>
      </c>
      <c r="N326" s="36" t="str">
        <f>IF(A326&lt;0,'CAR PROMAX FILIAL CRUZ'!R320," ")</f>
        <v xml:space="preserve"> </v>
      </c>
      <c r="O326" s="37" t="str">
        <f>IF(A326&lt;0,'CAR PROMAX FILIAL CRUZ'!S320," ")</f>
        <v xml:space="preserve"> </v>
      </c>
      <c r="P326" s="37" t="str">
        <f>IF(A326&lt;0,'CAR PROMAX FILIAL CRUZ'!T320," ")</f>
        <v xml:space="preserve"> </v>
      </c>
      <c r="Q326" s="37" t="str">
        <f>IF(A326&lt;0,'CAR PROMAX FILIAL CRUZ'!U320," ")</f>
        <v xml:space="preserve"> </v>
      </c>
      <c r="R326" s="34" t="str">
        <f>IF(A326&lt;0,'CAR PROMAX FILIAL CRUZ'!V320," ")</f>
        <v xml:space="preserve"> </v>
      </c>
    </row>
    <row r="327" spans="1:18" x14ac:dyDescent="0.25">
      <c r="A327">
        <f>'CAR PROMAX FILIAL CRUZ'!O321</f>
        <v>0</v>
      </c>
      <c r="B327" s="33" t="str">
        <f t="shared" si="11"/>
        <v xml:space="preserve"> </v>
      </c>
      <c r="C327" s="33" t="str">
        <f t="shared" si="10"/>
        <v xml:space="preserve"> </v>
      </c>
      <c r="D327" s="34" t="str">
        <f>IF(A327&lt;0,'CAR PROMAX FILIAL CRUZ'!B321," ")</f>
        <v xml:space="preserve"> </v>
      </c>
      <c r="E327" s="35" t="str">
        <f>IF(A327&lt;0,'CAR PROMAX FILIAL CRUZ'!C321," ")</f>
        <v xml:space="preserve"> </v>
      </c>
      <c r="F327" s="34" t="str">
        <f>IF(A327&lt;0,'CAR PROMAX FILIAL CRUZ'!D321," ")</f>
        <v xml:space="preserve"> </v>
      </c>
      <c r="G327" s="34" t="str">
        <f>IF(A327&lt;0,'CAR PROMAX FILIAL CRUZ'!E321," ")</f>
        <v xml:space="preserve"> </v>
      </c>
      <c r="H327" s="34" t="str">
        <f>IF(A327&lt;0,'CAR PROMAX FILIAL CRUZ'!J321," ")</f>
        <v xml:space="preserve"> </v>
      </c>
      <c r="I327" s="34"/>
      <c r="J327" s="34"/>
      <c r="K327" s="34" t="str">
        <f>IF(A327&lt;0,'CAR PROMAX FILIAL CRUZ'!O321," ")</f>
        <v xml:space="preserve"> </v>
      </c>
      <c r="L327" s="36" t="str">
        <f>IF(A327&lt;0,'CAR PROMAX FILIAL CRUZ'!P321," ")</f>
        <v xml:space="preserve"> </v>
      </c>
      <c r="M327" s="36" t="str">
        <f>IF(A327&lt;0,'CAR PROMAX FILIAL CRUZ'!Q321," ")</f>
        <v xml:space="preserve"> </v>
      </c>
      <c r="N327" s="36" t="str">
        <f>IF(A327&lt;0,'CAR PROMAX FILIAL CRUZ'!R321," ")</f>
        <v xml:space="preserve"> </v>
      </c>
      <c r="O327" s="37" t="str">
        <f>IF(A327&lt;0,'CAR PROMAX FILIAL CRUZ'!S321," ")</f>
        <v xml:space="preserve"> </v>
      </c>
      <c r="P327" s="37" t="str">
        <f>IF(A327&lt;0,'CAR PROMAX FILIAL CRUZ'!T321," ")</f>
        <v xml:space="preserve"> </v>
      </c>
      <c r="Q327" s="37" t="str">
        <f>IF(A327&lt;0,'CAR PROMAX FILIAL CRUZ'!U321," ")</f>
        <v xml:space="preserve"> </v>
      </c>
      <c r="R327" s="34" t="str">
        <f>IF(A327&lt;0,'CAR PROMAX FILIAL CRUZ'!V321," ")</f>
        <v xml:space="preserve"> </v>
      </c>
    </row>
    <row r="328" spans="1:18" x14ac:dyDescent="0.25">
      <c r="A328">
        <f>'CAR PROMAX FILIAL CRUZ'!O322</f>
        <v>0</v>
      </c>
      <c r="B328" s="33" t="str">
        <f t="shared" si="11"/>
        <v xml:space="preserve"> </v>
      </c>
      <c r="C328" s="33" t="str">
        <f t="shared" ref="C328:C391" si="12">IF(K328&lt;0,IF(K328&gt;-16,"RN",IF(K328&gt;-46,"GV","GC"))," ")</f>
        <v xml:space="preserve"> </v>
      </c>
      <c r="D328" s="34" t="str">
        <f>IF(A328&lt;0,'CAR PROMAX FILIAL CRUZ'!B322," ")</f>
        <v xml:space="preserve"> </v>
      </c>
      <c r="E328" s="35" t="str">
        <f>IF(A328&lt;0,'CAR PROMAX FILIAL CRUZ'!C322," ")</f>
        <v xml:space="preserve"> </v>
      </c>
      <c r="F328" s="34" t="str">
        <f>IF(A328&lt;0,'CAR PROMAX FILIAL CRUZ'!D322," ")</f>
        <v xml:space="preserve"> </v>
      </c>
      <c r="G328" s="34" t="str">
        <f>IF(A328&lt;0,'CAR PROMAX FILIAL CRUZ'!E322," ")</f>
        <v xml:space="preserve"> </v>
      </c>
      <c r="H328" s="34" t="str">
        <f>IF(A328&lt;0,'CAR PROMAX FILIAL CRUZ'!J322," ")</f>
        <v xml:space="preserve"> </v>
      </c>
      <c r="I328" s="34"/>
      <c r="J328" s="34"/>
      <c r="K328" s="34" t="str">
        <f>IF(A328&lt;0,'CAR PROMAX FILIAL CRUZ'!O322," ")</f>
        <v xml:space="preserve"> </v>
      </c>
      <c r="L328" s="36" t="str">
        <f>IF(A328&lt;0,'CAR PROMAX FILIAL CRUZ'!P322," ")</f>
        <v xml:space="preserve"> </v>
      </c>
      <c r="M328" s="36" t="str">
        <f>IF(A328&lt;0,'CAR PROMAX FILIAL CRUZ'!Q322," ")</f>
        <v xml:space="preserve"> </v>
      </c>
      <c r="N328" s="36" t="str">
        <f>IF(A328&lt;0,'CAR PROMAX FILIAL CRUZ'!R322," ")</f>
        <v xml:space="preserve"> </v>
      </c>
      <c r="O328" s="37" t="str">
        <f>IF(A328&lt;0,'CAR PROMAX FILIAL CRUZ'!S322," ")</f>
        <v xml:space="preserve"> </v>
      </c>
      <c r="P328" s="37" t="str">
        <f>IF(A328&lt;0,'CAR PROMAX FILIAL CRUZ'!T322," ")</f>
        <v xml:space="preserve"> </v>
      </c>
      <c r="Q328" s="37" t="str">
        <f>IF(A328&lt;0,'CAR PROMAX FILIAL CRUZ'!U322," ")</f>
        <v xml:space="preserve"> </v>
      </c>
      <c r="R328" s="34" t="str">
        <f>IF(A328&lt;0,'CAR PROMAX FILIAL CRUZ'!V322," ")</f>
        <v xml:space="preserve"> </v>
      </c>
    </row>
    <row r="329" spans="1:18" x14ac:dyDescent="0.25">
      <c r="A329">
        <f>'CAR PROMAX FILIAL CRUZ'!O323</f>
        <v>0</v>
      </c>
      <c r="B329" s="33" t="str">
        <f t="shared" si="11"/>
        <v xml:space="preserve"> </v>
      </c>
      <c r="C329" s="33" t="str">
        <f t="shared" si="12"/>
        <v xml:space="preserve"> </v>
      </c>
      <c r="D329" s="34" t="str">
        <f>IF(A329&lt;0,'CAR PROMAX FILIAL CRUZ'!B323," ")</f>
        <v xml:space="preserve"> </v>
      </c>
      <c r="E329" s="35" t="str">
        <f>IF(A329&lt;0,'CAR PROMAX FILIAL CRUZ'!C323," ")</f>
        <v xml:space="preserve"> </v>
      </c>
      <c r="F329" s="34" t="str">
        <f>IF(A329&lt;0,'CAR PROMAX FILIAL CRUZ'!D323," ")</f>
        <v xml:space="preserve"> </v>
      </c>
      <c r="G329" s="34" t="str">
        <f>IF(A329&lt;0,'CAR PROMAX FILIAL CRUZ'!E323," ")</f>
        <v xml:space="preserve"> </v>
      </c>
      <c r="H329" s="34" t="str">
        <f>IF(A329&lt;0,'CAR PROMAX FILIAL CRUZ'!J323," ")</f>
        <v xml:space="preserve"> </v>
      </c>
      <c r="I329" s="34"/>
      <c r="J329" s="34"/>
      <c r="K329" s="34" t="str">
        <f>IF(A329&lt;0,'CAR PROMAX FILIAL CRUZ'!O323," ")</f>
        <v xml:space="preserve"> </v>
      </c>
      <c r="L329" s="36" t="str">
        <f>IF(A329&lt;0,'CAR PROMAX FILIAL CRUZ'!P323," ")</f>
        <v xml:space="preserve"> </v>
      </c>
      <c r="M329" s="36" t="str">
        <f>IF(A329&lt;0,'CAR PROMAX FILIAL CRUZ'!Q323," ")</f>
        <v xml:space="preserve"> </v>
      </c>
      <c r="N329" s="36" t="str">
        <f>IF(A329&lt;0,'CAR PROMAX FILIAL CRUZ'!R323," ")</f>
        <v xml:space="preserve"> </v>
      </c>
      <c r="O329" s="37" t="str">
        <f>IF(A329&lt;0,'CAR PROMAX FILIAL CRUZ'!S323," ")</f>
        <v xml:space="preserve"> </v>
      </c>
      <c r="P329" s="37" t="str">
        <f>IF(A329&lt;0,'CAR PROMAX FILIAL CRUZ'!T323," ")</f>
        <v xml:space="preserve"> </v>
      </c>
      <c r="Q329" s="37" t="str">
        <f>IF(A329&lt;0,'CAR PROMAX FILIAL CRUZ'!U323," ")</f>
        <v xml:space="preserve"> </v>
      </c>
      <c r="R329" s="34" t="str">
        <f>IF(A329&lt;0,'CAR PROMAX FILIAL CRUZ'!V323," ")</f>
        <v xml:space="preserve"> </v>
      </c>
    </row>
    <row r="330" spans="1:18" x14ac:dyDescent="0.25">
      <c r="A330">
        <f>'CAR PROMAX FILIAL CRUZ'!O324</f>
        <v>0</v>
      </c>
      <c r="B330" s="33" t="str">
        <f t="shared" si="11"/>
        <v xml:space="preserve"> </v>
      </c>
      <c r="C330" s="33" t="str">
        <f t="shared" si="12"/>
        <v xml:space="preserve"> </v>
      </c>
      <c r="D330" s="34" t="str">
        <f>IF(A330&lt;0,'CAR PROMAX FILIAL CRUZ'!B324," ")</f>
        <v xml:space="preserve"> </v>
      </c>
      <c r="E330" s="35" t="str">
        <f>IF(A330&lt;0,'CAR PROMAX FILIAL CRUZ'!C324," ")</f>
        <v xml:space="preserve"> </v>
      </c>
      <c r="F330" s="34" t="str">
        <f>IF(A330&lt;0,'CAR PROMAX FILIAL CRUZ'!D324," ")</f>
        <v xml:space="preserve"> </v>
      </c>
      <c r="G330" s="34" t="str">
        <f>IF(A330&lt;0,'CAR PROMAX FILIAL CRUZ'!E324," ")</f>
        <v xml:space="preserve"> </v>
      </c>
      <c r="H330" s="34" t="str">
        <f>IF(A330&lt;0,'CAR PROMAX FILIAL CRUZ'!J324," ")</f>
        <v xml:space="preserve"> </v>
      </c>
      <c r="I330" s="34"/>
      <c r="J330" s="34"/>
      <c r="K330" s="34" t="str">
        <f>IF(A330&lt;0,'CAR PROMAX FILIAL CRUZ'!O324," ")</f>
        <v xml:space="preserve"> </v>
      </c>
      <c r="L330" s="36" t="str">
        <f>IF(A330&lt;0,'CAR PROMAX FILIAL CRUZ'!P324," ")</f>
        <v xml:space="preserve"> </v>
      </c>
      <c r="M330" s="36" t="str">
        <f>IF(A330&lt;0,'CAR PROMAX FILIAL CRUZ'!Q324," ")</f>
        <v xml:space="preserve"> </v>
      </c>
      <c r="N330" s="36" t="str">
        <f>IF(A330&lt;0,'CAR PROMAX FILIAL CRUZ'!R324," ")</f>
        <v xml:space="preserve"> </v>
      </c>
      <c r="O330" s="37" t="str">
        <f>IF(A330&lt;0,'CAR PROMAX FILIAL CRUZ'!S324," ")</f>
        <v xml:space="preserve"> </v>
      </c>
      <c r="P330" s="37" t="str">
        <f>IF(A330&lt;0,'CAR PROMAX FILIAL CRUZ'!T324," ")</f>
        <v xml:space="preserve"> </v>
      </c>
      <c r="Q330" s="37" t="str">
        <f>IF(A330&lt;0,'CAR PROMAX FILIAL CRUZ'!U324," ")</f>
        <v xml:space="preserve"> </v>
      </c>
      <c r="R330" s="34" t="str">
        <f>IF(A330&lt;0,'CAR PROMAX FILIAL CRUZ'!V324," ")</f>
        <v xml:space="preserve"> </v>
      </c>
    </row>
    <row r="331" spans="1:18" x14ac:dyDescent="0.25">
      <c r="A331">
        <f>'CAR PROMAX FILIAL CRUZ'!O325</f>
        <v>0</v>
      </c>
      <c r="B331" s="33" t="str">
        <f t="shared" si="11"/>
        <v xml:space="preserve"> </v>
      </c>
      <c r="C331" s="33" t="str">
        <f t="shared" si="12"/>
        <v xml:space="preserve"> </v>
      </c>
      <c r="D331" s="34" t="str">
        <f>IF(A331&lt;0,'CAR PROMAX FILIAL CRUZ'!B325," ")</f>
        <v xml:space="preserve"> </v>
      </c>
      <c r="E331" s="35" t="str">
        <f>IF(A331&lt;0,'CAR PROMAX FILIAL CRUZ'!C325," ")</f>
        <v xml:space="preserve"> </v>
      </c>
      <c r="F331" s="34" t="str">
        <f>IF(A331&lt;0,'CAR PROMAX FILIAL CRUZ'!D325," ")</f>
        <v xml:space="preserve"> </v>
      </c>
      <c r="G331" s="34" t="str">
        <f>IF(A331&lt;0,'CAR PROMAX FILIAL CRUZ'!E325," ")</f>
        <v xml:space="preserve"> </v>
      </c>
      <c r="H331" s="34" t="str">
        <f>IF(A331&lt;0,'CAR PROMAX FILIAL CRUZ'!J325," ")</f>
        <v xml:space="preserve"> </v>
      </c>
      <c r="I331" s="34"/>
      <c r="J331" s="34"/>
      <c r="K331" s="34" t="str">
        <f>IF(A331&lt;0,'CAR PROMAX FILIAL CRUZ'!O325," ")</f>
        <v xml:space="preserve"> </v>
      </c>
      <c r="L331" s="36" t="str">
        <f>IF(A331&lt;0,'CAR PROMAX FILIAL CRUZ'!P325," ")</f>
        <v xml:space="preserve"> </v>
      </c>
      <c r="M331" s="36" t="str">
        <f>IF(A331&lt;0,'CAR PROMAX FILIAL CRUZ'!Q325," ")</f>
        <v xml:space="preserve"> </v>
      </c>
      <c r="N331" s="36" t="str">
        <f>IF(A331&lt;0,'CAR PROMAX FILIAL CRUZ'!R325," ")</f>
        <v xml:space="preserve"> </v>
      </c>
      <c r="O331" s="37" t="str">
        <f>IF(A331&lt;0,'CAR PROMAX FILIAL CRUZ'!S325," ")</f>
        <v xml:space="preserve"> </v>
      </c>
      <c r="P331" s="37" t="str">
        <f>IF(A331&lt;0,'CAR PROMAX FILIAL CRUZ'!T325," ")</f>
        <v xml:space="preserve"> </v>
      </c>
      <c r="Q331" s="37" t="str">
        <f>IF(A331&lt;0,'CAR PROMAX FILIAL CRUZ'!U325," ")</f>
        <v xml:space="preserve"> </v>
      </c>
      <c r="R331" s="34" t="str">
        <f>IF(A331&lt;0,'CAR PROMAX FILIAL CRUZ'!V325," ")</f>
        <v xml:space="preserve"> </v>
      </c>
    </row>
    <row r="332" spans="1:18" x14ac:dyDescent="0.25">
      <c r="A332">
        <f>'CAR PROMAX FILIAL CRUZ'!O326</f>
        <v>0</v>
      </c>
      <c r="B332" s="33" t="str">
        <f t="shared" si="11"/>
        <v xml:space="preserve"> </v>
      </c>
      <c r="C332" s="33" t="str">
        <f t="shared" si="12"/>
        <v xml:space="preserve"> </v>
      </c>
      <c r="D332" s="34" t="str">
        <f>IF(A332&lt;0,'CAR PROMAX FILIAL CRUZ'!B326," ")</f>
        <v xml:space="preserve"> </v>
      </c>
      <c r="E332" s="35" t="str">
        <f>IF(A332&lt;0,'CAR PROMAX FILIAL CRUZ'!C326," ")</f>
        <v xml:space="preserve"> </v>
      </c>
      <c r="F332" s="34" t="str">
        <f>IF(A332&lt;0,'CAR PROMAX FILIAL CRUZ'!D326," ")</f>
        <v xml:space="preserve"> </v>
      </c>
      <c r="G332" s="34" t="str">
        <f>IF(A332&lt;0,'CAR PROMAX FILIAL CRUZ'!E326," ")</f>
        <v xml:space="preserve"> </v>
      </c>
      <c r="H332" s="34" t="str">
        <f>IF(A332&lt;0,'CAR PROMAX FILIAL CRUZ'!J326," ")</f>
        <v xml:space="preserve"> </v>
      </c>
      <c r="I332" s="34"/>
      <c r="J332" s="34"/>
      <c r="K332" s="34" t="str">
        <f>IF(A332&lt;0,'CAR PROMAX FILIAL CRUZ'!O326," ")</f>
        <v xml:space="preserve"> </v>
      </c>
      <c r="L332" s="36" t="str">
        <f>IF(A332&lt;0,'CAR PROMAX FILIAL CRUZ'!P326," ")</f>
        <v xml:space="preserve"> </v>
      </c>
      <c r="M332" s="36" t="str">
        <f>IF(A332&lt;0,'CAR PROMAX FILIAL CRUZ'!Q326," ")</f>
        <v xml:space="preserve"> </v>
      </c>
      <c r="N332" s="36" t="str">
        <f>IF(A332&lt;0,'CAR PROMAX FILIAL CRUZ'!R326," ")</f>
        <v xml:space="preserve"> </v>
      </c>
      <c r="O332" s="37" t="str">
        <f>IF(A332&lt;0,'CAR PROMAX FILIAL CRUZ'!S326," ")</f>
        <v xml:space="preserve"> </v>
      </c>
      <c r="P332" s="37" t="str">
        <f>IF(A332&lt;0,'CAR PROMAX FILIAL CRUZ'!T326," ")</f>
        <v xml:space="preserve"> </v>
      </c>
      <c r="Q332" s="37" t="str">
        <f>IF(A332&lt;0,'CAR PROMAX FILIAL CRUZ'!U326," ")</f>
        <v xml:space="preserve"> </v>
      </c>
      <c r="R332" s="34" t="str">
        <f>IF(A332&lt;0,'CAR PROMAX FILIAL CRUZ'!V326," ")</f>
        <v xml:space="preserve"> </v>
      </c>
    </row>
    <row r="333" spans="1:18" x14ac:dyDescent="0.25">
      <c r="A333">
        <f>'CAR PROMAX FILIAL CRUZ'!O327</f>
        <v>0</v>
      </c>
      <c r="B333" s="33" t="str">
        <f t="shared" si="11"/>
        <v xml:space="preserve"> </v>
      </c>
      <c r="C333" s="33" t="str">
        <f t="shared" si="12"/>
        <v xml:space="preserve"> </v>
      </c>
      <c r="D333" s="34" t="str">
        <f>IF(A333&lt;0,'CAR PROMAX FILIAL CRUZ'!B327," ")</f>
        <v xml:space="preserve"> </v>
      </c>
      <c r="E333" s="35" t="str">
        <f>IF(A333&lt;0,'CAR PROMAX FILIAL CRUZ'!C327," ")</f>
        <v xml:space="preserve"> </v>
      </c>
      <c r="F333" s="34" t="str">
        <f>IF(A333&lt;0,'CAR PROMAX FILIAL CRUZ'!D327," ")</f>
        <v xml:space="preserve"> </v>
      </c>
      <c r="G333" s="34" t="str">
        <f>IF(A333&lt;0,'CAR PROMAX FILIAL CRUZ'!E327," ")</f>
        <v xml:space="preserve"> </v>
      </c>
      <c r="H333" s="34" t="str">
        <f>IF(A333&lt;0,'CAR PROMAX FILIAL CRUZ'!J327," ")</f>
        <v xml:space="preserve"> </v>
      </c>
      <c r="I333" s="34"/>
      <c r="J333" s="34"/>
      <c r="K333" s="34" t="str">
        <f>IF(A333&lt;0,'CAR PROMAX FILIAL CRUZ'!O327," ")</f>
        <v xml:space="preserve"> </v>
      </c>
      <c r="L333" s="36" t="str">
        <f>IF(A333&lt;0,'CAR PROMAX FILIAL CRUZ'!P327," ")</f>
        <v xml:space="preserve"> </v>
      </c>
      <c r="M333" s="36" t="str">
        <f>IF(A333&lt;0,'CAR PROMAX FILIAL CRUZ'!Q327," ")</f>
        <v xml:space="preserve"> </v>
      </c>
      <c r="N333" s="36" t="str">
        <f>IF(A333&lt;0,'CAR PROMAX FILIAL CRUZ'!R327," ")</f>
        <v xml:space="preserve"> </v>
      </c>
      <c r="O333" s="37" t="str">
        <f>IF(A333&lt;0,'CAR PROMAX FILIAL CRUZ'!S327," ")</f>
        <v xml:space="preserve"> </v>
      </c>
      <c r="P333" s="37" t="str">
        <f>IF(A333&lt;0,'CAR PROMAX FILIAL CRUZ'!T327," ")</f>
        <v xml:space="preserve"> </v>
      </c>
      <c r="Q333" s="37" t="str">
        <f>IF(A333&lt;0,'CAR PROMAX FILIAL CRUZ'!U327," ")</f>
        <v xml:space="preserve"> </v>
      </c>
      <c r="R333" s="34" t="str">
        <f>IF(A333&lt;0,'CAR PROMAX FILIAL CRUZ'!V327," ")</f>
        <v xml:space="preserve"> </v>
      </c>
    </row>
    <row r="334" spans="1:18" x14ac:dyDescent="0.25">
      <c r="A334">
        <f>'CAR PROMAX FILIAL CRUZ'!O328</f>
        <v>0</v>
      </c>
      <c r="B334" s="33" t="str">
        <f t="shared" ref="B334:B397" si="13">IF(K334&lt;0,IF(K334&gt;-31,"INAD.",IF(K334&gt;-75,"IREC.","PDD"))," ")</f>
        <v xml:space="preserve"> </v>
      </c>
      <c r="C334" s="33" t="str">
        <f t="shared" si="12"/>
        <v xml:space="preserve"> </v>
      </c>
      <c r="D334" s="34" t="str">
        <f>IF(A334&lt;0,'CAR PROMAX FILIAL CRUZ'!B328," ")</f>
        <v xml:space="preserve"> </v>
      </c>
      <c r="E334" s="35" t="str">
        <f>IF(A334&lt;0,'CAR PROMAX FILIAL CRUZ'!C328," ")</f>
        <v xml:space="preserve"> </v>
      </c>
      <c r="F334" s="34" t="str">
        <f>IF(A334&lt;0,'CAR PROMAX FILIAL CRUZ'!D328," ")</f>
        <v xml:space="preserve"> </v>
      </c>
      <c r="G334" s="34" t="str">
        <f>IF(A334&lt;0,'CAR PROMAX FILIAL CRUZ'!E328," ")</f>
        <v xml:space="preserve"> </v>
      </c>
      <c r="H334" s="34" t="str">
        <f>IF(A334&lt;0,'CAR PROMAX FILIAL CRUZ'!J328," ")</f>
        <v xml:space="preserve"> </v>
      </c>
      <c r="I334" s="34"/>
      <c r="J334" s="34"/>
      <c r="K334" s="34" t="str">
        <f>IF(A334&lt;0,'CAR PROMAX FILIAL CRUZ'!O328," ")</f>
        <v xml:space="preserve"> </v>
      </c>
      <c r="L334" s="36" t="str">
        <f>IF(A334&lt;0,'CAR PROMAX FILIAL CRUZ'!P328," ")</f>
        <v xml:space="preserve"> </v>
      </c>
      <c r="M334" s="36" t="str">
        <f>IF(A334&lt;0,'CAR PROMAX FILIAL CRUZ'!Q328," ")</f>
        <v xml:space="preserve"> </v>
      </c>
      <c r="N334" s="36" t="str">
        <f>IF(A334&lt;0,'CAR PROMAX FILIAL CRUZ'!R328," ")</f>
        <v xml:space="preserve"> </v>
      </c>
      <c r="O334" s="37" t="str">
        <f>IF(A334&lt;0,'CAR PROMAX FILIAL CRUZ'!S328," ")</f>
        <v xml:space="preserve"> </v>
      </c>
      <c r="P334" s="37" t="str">
        <f>IF(A334&lt;0,'CAR PROMAX FILIAL CRUZ'!T328," ")</f>
        <v xml:space="preserve"> </v>
      </c>
      <c r="Q334" s="37" t="str">
        <f>IF(A334&lt;0,'CAR PROMAX FILIAL CRUZ'!U328," ")</f>
        <v xml:space="preserve"> </v>
      </c>
      <c r="R334" s="34" t="str">
        <f>IF(A334&lt;0,'CAR PROMAX FILIAL CRUZ'!V328," ")</f>
        <v xml:space="preserve"> </v>
      </c>
    </row>
    <row r="335" spans="1:18" x14ac:dyDescent="0.25">
      <c r="A335">
        <f>'CAR PROMAX FILIAL CRUZ'!O329</f>
        <v>0</v>
      </c>
      <c r="B335" s="33" t="str">
        <f t="shared" si="13"/>
        <v xml:space="preserve"> </v>
      </c>
      <c r="C335" s="33" t="str">
        <f t="shared" si="12"/>
        <v xml:space="preserve"> </v>
      </c>
      <c r="D335" s="34" t="str">
        <f>IF(A335&lt;0,'CAR PROMAX FILIAL CRUZ'!B329," ")</f>
        <v xml:space="preserve"> </v>
      </c>
      <c r="E335" s="35" t="str">
        <f>IF(A335&lt;0,'CAR PROMAX FILIAL CRUZ'!C329," ")</f>
        <v xml:space="preserve"> </v>
      </c>
      <c r="F335" s="34" t="str">
        <f>IF(A335&lt;0,'CAR PROMAX FILIAL CRUZ'!D329," ")</f>
        <v xml:space="preserve"> </v>
      </c>
      <c r="G335" s="34" t="str">
        <f>IF(A335&lt;0,'CAR PROMAX FILIAL CRUZ'!E329," ")</f>
        <v xml:space="preserve"> </v>
      </c>
      <c r="H335" s="34" t="str">
        <f>IF(A335&lt;0,'CAR PROMAX FILIAL CRUZ'!J329," ")</f>
        <v xml:space="preserve"> </v>
      </c>
      <c r="I335" s="34"/>
      <c r="J335" s="34"/>
      <c r="K335" s="34" t="str">
        <f>IF(A335&lt;0,'CAR PROMAX FILIAL CRUZ'!O329," ")</f>
        <v xml:space="preserve"> </v>
      </c>
      <c r="L335" s="36" t="str">
        <f>IF(A335&lt;0,'CAR PROMAX FILIAL CRUZ'!P329," ")</f>
        <v xml:space="preserve"> </v>
      </c>
      <c r="M335" s="36" t="str">
        <f>IF(A335&lt;0,'CAR PROMAX FILIAL CRUZ'!Q329," ")</f>
        <v xml:space="preserve"> </v>
      </c>
      <c r="N335" s="36" t="str">
        <f>IF(A335&lt;0,'CAR PROMAX FILIAL CRUZ'!R329," ")</f>
        <v xml:space="preserve"> </v>
      </c>
      <c r="O335" s="37" t="str">
        <f>IF(A335&lt;0,'CAR PROMAX FILIAL CRUZ'!S329," ")</f>
        <v xml:space="preserve"> </v>
      </c>
      <c r="P335" s="37" t="str">
        <f>IF(A335&lt;0,'CAR PROMAX FILIAL CRUZ'!T329," ")</f>
        <v xml:space="preserve"> </v>
      </c>
      <c r="Q335" s="37" t="str">
        <f>IF(A335&lt;0,'CAR PROMAX FILIAL CRUZ'!U329," ")</f>
        <v xml:space="preserve"> </v>
      </c>
      <c r="R335" s="34" t="str">
        <f>IF(A335&lt;0,'CAR PROMAX FILIAL CRUZ'!V329," ")</f>
        <v xml:space="preserve"> </v>
      </c>
    </row>
    <row r="336" spans="1:18" x14ac:dyDescent="0.25">
      <c r="A336">
        <f>'CAR PROMAX FILIAL CRUZ'!O330</f>
        <v>0</v>
      </c>
      <c r="B336" s="33" t="str">
        <f t="shared" si="13"/>
        <v xml:space="preserve"> </v>
      </c>
      <c r="C336" s="33" t="str">
        <f t="shared" si="12"/>
        <v xml:space="preserve"> </v>
      </c>
      <c r="D336" s="34" t="str">
        <f>IF(A336&lt;0,'CAR PROMAX FILIAL CRUZ'!B330," ")</f>
        <v xml:space="preserve"> </v>
      </c>
      <c r="E336" s="35" t="str">
        <f>IF(A336&lt;0,'CAR PROMAX FILIAL CRUZ'!C330," ")</f>
        <v xml:space="preserve"> </v>
      </c>
      <c r="F336" s="34" t="str">
        <f>IF(A336&lt;0,'CAR PROMAX FILIAL CRUZ'!D330," ")</f>
        <v xml:space="preserve"> </v>
      </c>
      <c r="G336" s="34" t="str">
        <f>IF(A336&lt;0,'CAR PROMAX FILIAL CRUZ'!E330," ")</f>
        <v xml:space="preserve"> </v>
      </c>
      <c r="H336" s="34" t="str">
        <f>IF(A336&lt;0,'CAR PROMAX FILIAL CRUZ'!J330," ")</f>
        <v xml:space="preserve"> </v>
      </c>
      <c r="I336" s="34"/>
      <c r="J336" s="34"/>
      <c r="K336" s="34" t="str">
        <f>IF(A336&lt;0,'CAR PROMAX FILIAL CRUZ'!O330," ")</f>
        <v xml:space="preserve"> </v>
      </c>
      <c r="L336" s="36" t="str">
        <f>IF(A336&lt;0,'CAR PROMAX FILIAL CRUZ'!P330," ")</f>
        <v xml:space="preserve"> </v>
      </c>
      <c r="M336" s="36" t="str">
        <f>IF(A336&lt;0,'CAR PROMAX FILIAL CRUZ'!Q330," ")</f>
        <v xml:space="preserve"> </v>
      </c>
      <c r="N336" s="36" t="str">
        <f>IF(A336&lt;0,'CAR PROMAX FILIAL CRUZ'!R330," ")</f>
        <v xml:space="preserve"> </v>
      </c>
      <c r="O336" s="37" t="str">
        <f>IF(A336&lt;0,'CAR PROMAX FILIAL CRUZ'!S330," ")</f>
        <v xml:space="preserve"> </v>
      </c>
      <c r="P336" s="37" t="str">
        <f>IF(A336&lt;0,'CAR PROMAX FILIAL CRUZ'!T330," ")</f>
        <v xml:space="preserve"> </v>
      </c>
      <c r="Q336" s="37" t="str">
        <f>IF(A336&lt;0,'CAR PROMAX FILIAL CRUZ'!U330," ")</f>
        <v xml:space="preserve"> </v>
      </c>
      <c r="R336" s="34" t="str">
        <f>IF(A336&lt;0,'CAR PROMAX FILIAL CRUZ'!V330," ")</f>
        <v xml:space="preserve"> </v>
      </c>
    </row>
    <row r="337" spans="1:18" x14ac:dyDescent="0.25">
      <c r="A337">
        <f>'CAR PROMAX FILIAL CRUZ'!O331</f>
        <v>0</v>
      </c>
      <c r="B337" s="33" t="str">
        <f t="shared" si="13"/>
        <v xml:space="preserve"> </v>
      </c>
      <c r="C337" s="33" t="str">
        <f t="shared" si="12"/>
        <v xml:space="preserve"> </v>
      </c>
      <c r="D337" s="34" t="str">
        <f>IF(A337&lt;0,'CAR PROMAX FILIAL CRUZ'!B331," ")</f>
        <v xml:space="preserve"> </v>
      </c>
      <c r="E337" s="35" t="str">
        <f>IF(A337&lt;0,'CAR PROMAX FILIAL CRUZ'!C331," ")</f>
        <v xml:space="preserve"> </v>
      </c>
      <c r="F337" s="34" t="str">
        <f>IF(A337&lt;0,'CAR PROMAX FILIAL CRUZ'!D331," ")</f>
        <v xml:space="preserve"> </v>
      </c>
      <c r="G337" s="34" t="str">
        <f>IF(A337&lt;0,'CAR PROMAX FILIAL CRUZ'!E331," ")</f>
        <v xml:space="preserve"> </v>
      </c>
      <c r="H337" s="34" t="str">
        <f>IF(A337&lt;0,'CAR PROMAX FILIAL CRUZ'!J331," ")</f>
        <v xml:space="preserve"> </v>
      </c>
      <c r="I337" s="34"/>
      <c r="J337" s="34"/>
      <c r="K337" s="34" t="str">
        <f>IF(A337&lt;0,'CAR PROMAX FILIAL CRUZ'!O331," ")</f>
        <v xml:space="preserve"> </v>
      </c>
      <c r="L337" s="36" t="str">
        <f>IF(A337&lt;0,'CAR PROMAX FILIAL CRUZ'!P331," ")</f>
        <v xml:space="preserve"> </v>
      </c>
      <c r="M337" s="36" t="str">
        <f>IF(A337&lt;0,'CAR PROMAX FILIAL CRUZ'!Q331," ")</f>
        <v xml:space="preserve"> </v>
      </c>
      <c r="N337" s="36" t="str">
        <f>IF(A337&lt;0,'CAR PROMAX FILIAL CRUZ'!R331," ")</f>
        <v xml:space="preserve"> </v>
      </c>
      <c r="O337" s="37" t="str">
        <f>IF(A337&lt;0,'CAR PROMAX FILIAL CRUZ'!S331," ")</f>
        <v xml:space="preserve"> </v>
      </c>
      <c r="P337" s="37" t="str">
        <f>IF(A337&lt;0,'CAR PROMAX FILIAL CRUZ'!T331," ")</f>
        <v xml:space="preserve"> </v>
      </c>
      <c r="Q337" s="37" t="str">
        <f>IF(A337&lt;0,'CAR PROMAX FILIAL CRUZ'!U331," ")</f>
        <v xml:space="preserve"> </v>
      </c>
      <c r="R337" s="34" t="str">
        <f>IF(A337&lt;0,'CAR PROMAX FILIAL CRUZ'!V331," ")</f>
        <v xml:space="preserve"> </v>
      </c>
    </row>
    <row r="338" spans="1:18" x14ac:dyDescent="0.25">
      <c r="A338">
        <f>'CAR PROMAX FILIAL CRUZ'!O332</f>
        <v>0</v>
      </c>
      <c r="B338" s="33" t="str">
        <f t="shared" si="13"/>
        <v xml:space="preserve"> </v>
      </c>
      <c r="C338" s="33" t="str">
        <f t="shared" si="12"/>
        <v xml:space="preserve"> </v>
      </c>
      <c r="D338" s="34" t="str">
        <f>IF(A338&lt;0,'CAR PROMAX FILIAL CRUZ'!B332," ")</f>
        <v xml:space="preserve"> </v>
      </c>
      <c r="E338" s="35" t="str">
        <f>IF(A338&lt;0,'CAR PROMAX FILIAL CRUZ'!C332," ")</f>
        <v xml:space="preserve"> </v>
      </c>
      <c r="F338" s="34" t="str">
        <f>IF(A338&lt;0,'CAR PROMAX FILIAL CRUZ'!D332," ")</f>
        <v xml:space="preserve"> </v>
      </c>
      <c r="G338" s="34" t="str">
        <f>IF(A338&lt;0,'CAR PROMAX FILIAL CRUZ'!E332," ")</f>
        <v xml:space="preserve"> </v>
      </c>
      <c r="H338" s="34" t="str">
        <f>IF(A338&lt;0,'CAR PROMAX FILIAL CRUZ'!J332," ")</f>
        <v xml:space="preserve"> </v>
      </c>
      <c r="I338" s="34"/>
      <c r="J338" s="34"/>
      <c r="K338" s="34" t="str">
        <f>IF(A338&lt;0,'CAR PROMAX FILIAL CRUZ'!O332," ")</f>
        <v xml:space="preserve"> </v>
      </c>
      <c r="L338" s="36" t="str">
        <f>IF(A338&lt;0,'CAR PROMAX FILIAL CRUZ'!P332," ")</f>
        <v xml:space="preserve"> </v>
      </c>
      <c r="M338" s="36" t="str">
        <f>IF(A338&lt;0,'CAR PROMAX FILIAL CRUZ'!Q332," ")</f>
        <v xml:space="preserve"> </v>
      </c>
      <c r="N338" s="36" t="str">
        <f>IF(A338&lt;0,'CAR PROMAX FILIAL CRUZ'!R332," ")</f>
        <v xml:space="preserve"> </v>
      </c>
      <c r="O338" s="37" t="str">
        <f>IF(A338&lt;0,'CAR PROMAX FILIAL CRUZ'!S332," ")</f>
        <v xml:space="preserve"> </v>
      </c>
      <c r="P338" s="37" t="str">
        <f>IF(A338&lt;0,'CAR PROMAX FILIAL CRUZ'!T332," ")</f>
        <v xml:space="preserve"> </v>
      </c>
      <c r="Q338" s="37" t="str">
        <f>IF(A338&lt;0,'CAR PROMAX FILIAL CRUZ'!U332," ")</f>
        <v xml:space="preserve"> </v>
      </c>
      <c r="R338" s="34" t="str">
        <f>IF(A338&lt;0,'CAR PROMAX FILIAL CRUZ'!V332," ")</f>
        <v xml:space="preserve"> </v>
      </c>
    </row>
    <row r="339" spans="1:18" x14ac:dyDescent="0.25">
      <c r="A339">
        <f>'CAR PROMAX FILIAL CRUZ'!O333</f>
        <v>0</v>
      </c>
      <c r="B339" s="33" t="str">
        <f t="shared" si="13"/>
        <v xml:space="preserve"> </v>
      </c>
      <c r="C339" s="33" t="str">
        <f t="shared" si="12"/>
        <v xml:space="preserve"> </v>
      </c>
      <c r="D339" s="34" t="str">
        <f>IF(A339&lt;0,'CAR PROMAX FILIAL CRUZ'!B333," ")</f>
        <v xml:space="preserve"> </v>
      </c>
      <c r="E339" s="35" t="str">
        <f>IF(A339&lt;0,'CAR PROMAX FILIAL CRUZ'!C333," ")</f>
        <v xml:space="preserve"> </v>
      </c>
      <c r="F339" s="34" t="str">
        <f>IF(A339&lt;0,'CAR PROMAX FILIAL CRUZ'!D333," ")</f>
        <v xml:space="preserve"> </v>
      </c>
      <c r="G339" s="34" t="str">
        <f>IF(A339&lt;0,'CAR PROMAX FILIAL CRUZ'!E333," ")</f>
        <v xml:space="preserve"> </v>
      </c>
      <c r="H339" s="34" t="str">
        <f>IF(A339&lt;0,'CAR PROMAX FILIAL CRUZ'!J333," ")</f>
        <v xml:space="preserve"> </v>
      </c>
      <c r="I339" s="34"/>
      <c r="J339" s="34"/>
      <c r="K339" s="34" t="str">
        <f>IF(A339&lt;0,'CAR PROMAX FILIAL CRUZ'!O333," ")</f>
        <v xml:space="preserve"> </v>
      </c>
      <c r="L339" s="36" t="str">
        <f>IF(A339&lt;0,'CAR PROMAX FILIAL CRUZ'!P333," ")</f>
        <v xml:space="preserve"> </v>
      </c>
      <c r="M339" s="36" t="str">
        <f>IF(A339&lt;0,'CAR PROMAX FILIAL CRUZ'!Q333," ")</f>
        <v xml:space="preserve"> </v>
      </c>
      <c r="N339" s="36" t="str">
        <f>IF(A339&lt;0,'CAR PROMAX FILIAL CRUZ'!R333," ")</f>
        <v xml:space="preserve"> </v>
      </c>
      <c r="O339" s="37" t="str">
        <f>IF(A339&lt;0,'CAR PROMAX FILIAL CRUZ'!S333," ")</f>
        <v xml:space="preserve"> </v>
      </c>
      <c r="P339" s="37" t="str">
        <f>IF(A339&lt;0,'CAR PROMAX FILIAL CRUZ'!T333," ")</f>
        <v xml:space="preserve"> </v>
      </c>
      <c r="Q339" s="37" t="str">
        <f>IF(A339&lt;0,'CAR PROMAX FILIAL CRUZ'!U333," ")</f>
        <v xml:space="preserve"> </v>
      </c>
      <c r="R339" s="34" t="str">
        <f>IF(A339&lt;0,'CAR PROMAX FILIAL CRUZ'!V333," ")</f>
        <v xml:space="preserve"> </v>
      </c>
    </row>
    <row r="340" spans="1:18" x14ac:dyDescent="0.25">
      <c r="A340">
        <f>'CAR PROMAX FILIAL CRUZ'!O334</f>
        <v>0</v>
      </c>
      <c r="B340" s="33" t="str">
        <f t="shared" si="13"/>
        <v xml:space="preserve"> </v>
      </c>
      <c r="C340" s="33" t="str">
        <f t="shared" si="12"/>
        <v xml:space="preserve"> </v>
      </c>
      <c r="D340" s="34" t="str">
        <f>IF(A340&lt;0,'CAR PROMAX FILIAL CRUZ'!B334," ")</f>
        <v xml:space="preserve"> </v>
      </c>
      <c r="E340" s="35" t="str">
        <f>IF(A340&lt;0,'CAR PROMAX FILIAL CRUZ'!C334," ")</f>
        <v xml:space="preserve"> </v>
      </c>
      <c r="F340" s="34" t="str">
        <f>IF(A340&lt;0,'CAR PROMAX FILIAL CRUZ'!D334," ")</f>
        <v xml:space="preserve"> </v>
      </c>
      <c r="G340" s="34" t="str">
        <f>IF(A340&lt;0,'CAR PROMAX FILIAL CRUZ'!E334," ")</f>
        <v xml:space="preserve"> </v>
      </c>
      <c r="H340" s="34" t="str">
        <f>IF(A340&lt;0,'CAR PROMAX FILIAL CRUZ'!J334," ")</f>
        <v xml:space="preserve"> </v>
      </c>
      <c r="I340" s="34"/>
      <c r="J340" s="34"/>
      <c r="K340" s="34" t="str">
        <f>IF(A340&lt;0,'CAR PROMAX FILIAL CRUZ'!O334," ")</f>
        <v xml:space="preserve"> </v>
      </c>
      <c r="L340" s="36" t="str">
        <f>IF(A340&lt;0,'CAR PROMAX FILIAL CRUZ'!P334," ")</f>
        <v xml:space="preserve"> </v>
      </c>
      <c r="M340" s="36" t="str">
        <f>IF(A340&lt;0,'CAR PROMAX FILIAL CRUZ'!Q334," ")</f>
        <v xml:space="preserve"> </v>
      </c>
      <c r="N340" s="36" t="str">
        <f>IF(A340&lt;0,'CAR PROMAX FILIAL CRUZ'!R334," ")</f>
        <v xml:space="preserve"> </v>
      </c>
      <c r="O340" s="37" t="str">
        <f>IF(A340&lt;0,'CAR PROMAX FILIAL CRUZ'!S334," ")</f>
        <v xml:space="preserve"> </v>
      </c>
      <c r="P340" s="37" t="str">
        <f>IF(A340&lt;0,'CAR PROMAX FILIAL CRUZ'!T334," ")</f>
        <v xml:space="preserve"> </v>
      </c>
      <c r="Q340" s="37" t="str">
        <f>IF(A340&lt;0,'CAR PROMAX FILIAL CRUZ'!U334," ")</f>
        <v xml:space="preserve"> </v>
      </c>
      <c r="R340" s="34" t="str">
        <f>IF(A340&lt;0,'CAR PROMAX FILIAL CRUZ'!V334," ")</f>
        <v xml:space="preserve"> </v>
      </c>
    </row>
    <row r="341" spans="1:18" x14ac:dyDescent="0.25">
      <c r="A341">
        <f>'CAR PROMAX FILIAL CRUZ'!O335</f>
        <v>0</v>
      </c>
      <c r="B341" s="33" t="str">
        <f t="shared" si="13"/>
        <v xml:space="preserve"> </v>
      </c>
      <c r="C341" s="33" t="str">
        <f t="shared" si="12"/>
        <v xml:space="preserve"> </v>
      </c>
      <c r="D341" s="34" t="str">
        <f>IF(A341&lt;0,'CAR PROMAX FILIAL CRUZ'!B335," ")</f>
        <v xml:space="preserve"> </v>
      </c>
      <c r="E341" s="35" t="str">
        <f>IF(A341&lt;0,'CAR PROMAX FILIAL CRUZ'!C335," ")</f>
        <v xml:space="preserve"> </v>
      </c>
      <c r="F341" s="34" t="str">
        <f>IF(A341&lt;0,'CAR PROMAX FILIAL CRUZ'!D335," ")</f>
        <v xml:space="preserve"> </v>
      </c>
      <c r="G341" s="34" t="str">
        <f>IF(A341&lt;0,'CAR PROMAX FILIAL CRUZ'!E335," ")</f>
        <v xml:space="preserve"> </v>
      </c>
      <c r="H341" s="34" t="str">
        <f>IF(A341&lt;0,'CAR PROMAX FILIAL CRUZ'!J335," ")</f>
        <v xml:space="preserve"> </v>
      </c>
      <c r="I341" s="34"/>
      <c r="J341" s="34"/>
      <c r="K341" s="34" t="str">
        <f>IF(A341&lt;0,'CAR PROMAX FILIAL CRUZ'!O335," ")</f>
        <v xml:space="preserve"> </v>
      </c>
      <c r="L341" s="36" t="str">
        <f>IF(A341&lt;0,'CAR PROMAX FILIAL CRUZ'!P335," ")</f>
        <v xml:space="preserve"> </v>
      </c>
      <c r="M341" s="36" t="str">
        <f>IF(A341&lt;0,'CAR PROMAX FILIAL CRUZ'!Q335," ")</f>
        <v xml:space="preserve"> </v>
      </c>
      <c r="N341" s="36" t="str">
        <f>IF(A341&lt;0,'CAR PROMAX FILIAL CRUZ'!R335," ")</f>
        <v xml:space="preserve"> </v>
      </c>
      <c r="O341" s="37" t="str">
        <f>IF(A341&lt;0,'CAR PROMAX FILIAL CRUZ'!S335," ")</f>
        <v xml:space="preserve"> </v>
      </c>
      <c r="P341" s="37" t="str">
        <f>IF(A341&lt;0,'CAR PROMAX FILIAL CRUZ'!T335," ")</f>
        <v xml:space="preserve"> </v>
      </c>
      <c r="Q341" s="37" t="str">
        <f>IF(A341&lt;0,'CAR PROMAX FILIAL CRUZ'!U335," ")</f>
        <v xml:space="preserve"> </v>
      </c>
      <c r="R341" s="34" t="str">
        <f>IF(A341&lt;0,'CAR PROMAX FILIAL CRUZ'!V335," ")</f>
        <v xml:space="preserve"> </v>
      </c>
    </row>
    <row r="342" spans="1:18" x14ac:dyDescent="0.25">
      <c r="A342">
        <f>'CAR PROMAX FILIAL CRUZ'!O336</f>
        <v>0</v>
      </c>
      <c r="B342" s="33" t="str">
        <f t="shared" si="13"/>
        <v xml:space="preserve"> </v>
      </c>
      <c r="C342" s="33" t="str">
        <f t="shared" si="12"/>
        <v xml:space="preserve"> </v>
      </c>
      <c r="D342" s="34" t="str">
        <f>IF(A342&lt;0,'CAR PROMAX FILIAL CRUZ'!B336," ")</f>
        <v xml:space="preserve"> </v>
      </c>
      <c r="E342" s="35" t="str">
        <f>IF(A342&lt;0,'CAR PROMAX FILIAL CRUZ'!C336," ")</f>
        <v xml:space="preserve"> </v>
      </c>
      <c r="F342" s="34" t="str">
        <f>IF(A342&lt;0,'CAR PROMAX FILIAL CRUZ'!D336," ")</f>
        <v xml:space="preserve"> </v>
      </c>
      <c r="G342" s="34" t="str">
        <f>IF(A342&lt;0,'CAR PROMAX FILIAL CRUZ'!E336," ")</f>
        <v xml:space="preserve"> </v>
      </c>
      <c r="H342" s="34" t="str">
        <f>IF(A342&lt;0,'CAR PROMAX FILIAL CRUZ'!J336," ")</f>
        <v xml:space="preserve"> </v>
      </c>
      <c r="I342" s="34"/>
      <c r="J342" s="34"/>
      <c r="K342" s="34" t="str">
        <f>IF(A342&lt;0,'CAR PROMAX FILIAL CRUZ'!O336," ")</f>
        <v xml:space="preserve"> </v>
      </c>
      <c r="L342" s="36" t="str">
        <f>IF(A342&lt;0,'CAR PROMAX FILIAL CRUZ'!P336," ")</f>
        <v xml:space="preserve"> </v>
      </c>
      <c r="M342" s="36" t="str">
        <f>IF(A342&lt;0,'CAR PROMAX FILIAL CRUZ'!Q336," ")</f>
        <v xml:space="preserve"> </v>
      </c>
      <c r="N342" s="36" t="str">
        <f>IF(A342&lt;0,'CAR PROMAX FILIAL CRUZ'!R336," ")</f>
        <v xml:space="preserve"> </v>
      </c>
      <c r="O342" s="37" t="str">
        <f>IF(A342&lt;0,'CAR PROMAX FILIAL CRUZ'!S336," ")</f>
        <v xml:space="preserve"> </v>
      </c>
      <c r="P342" s="37" t="str">
        <f>IF(A342&lt;0,'CAR PROMAX FILIAL CRUZ'!T336," ")</f>
        <v xml:space="preserve"> </v>
      </c>
      <c r="Q342" s="37" t="str">
        <f>IF(A342&lt;0,'CAR PROMAX FILIAL CRUZ'!U336," ")</f>
        <v xml:space="preserve"> </v>
      </c>
      <c r="R342" s="34" t="str">
        <f>IF(A342&lt;0,'CAR PROMAX FILIAL CRUZ'!V336," ")</f>
        <v xml:space="preserve"> </v>
      </c>
    </row>
    <row r="343" spans="1:18" x14ac:dyDescent="0.25">
      <c r="A343">
        <f>'CAR PROMAX FILIAL CRUZ'!O337</f>
        <v>0</v>
      </c>
      <c r="B343" s="33" t="str">
        <f t="shared" si="13"/>
        <v xml:space="preserve"> </v>
      </c>
      <c r="C343" s="33" t="str">
        <f t="shared" si="12"/>
        <v xml:space="preserve"> </v>
      </c>
      <c r="D343" s="34" t="str">
        <f>IF(A343&lt;0,'CAR PROMAX FILIAL CRUZ'!B337," ")</f>
        <v xml:space="preserve"> </v>
      </c>
      <c r="E343" s="35" t="str">
        <f>IF(A343&lt;0,'CAR PROMAX FILIAL CRUZ'!C337," ")</f>
        <v xml:space="preserve"> </v>
      </c>
      <c r="F343" s="34" t="str">
        <f>IF(A343&lt;0,'CAR PROMAX FILIAL CRUZ'!D337," ")</f>
        <v xml:space="preserve"> </v>
      </c>
      <c r="G343" s="34" t="str">
        <f>IF(A343&lt;0,'CAR PROMAX FILIAL CRUZ'!E337," ")</f>
        <v xml:space="preserve"> </v>
      </c>
      <c r="H343" s="34" t="str">
        <f>IF(A343&lt;0,'CAR PROMAX FILIAL CRUZ'!J337," ")</f>
        <v xml:space="preserve"> </v>
      </c>
      <c r="I343" s="34"/>
      <c r="J343" s="34"/>
      <c r="K343" s="34" t="str">
        <f>IF(A343&lt;0,'CAR PROMAX FILIAL CRUZ'!O337," ")</f>
        <v xml:space="preserve"> </v>
      </c>
      <c r="L343" s="36" t="str">
        <f>IF(A343&lt;0,'CAR PROMAX FILIAL CRUZ'!P337," ")</f>
        <v xml:space="preserve"> </v>
      </c>
      <c r="M343" s="36" t="str">
        <f>IF(A343&lt;0,'CAR PROMAX FILIAL CRUZ'!Q337," ")</f>
        <v xml:space="preserve"> </v>
      </c>
      <c r="N343" s="36" t="str">
        <f>IF(A343&lt;0,'CAR PROMAX FILIAL CRUZ'!R337," ")</f>
        <v xml:space="preserve"> </v>
      </c>
      <c r="O343" s="37" t="str">
        <f>IF(A343&lt;0,'CAR PROMAX FILIAL CRUZ'!S337," ")</f>
        <v xml:space="preserve"> </v>
      </c>
      <c r="P343" s="37" t="str">
        <f>IF(A343&lt;0,'CAR PROMAX FILIAL CRUZ'!T337," ")</f>
        <v xml:space="preserve"> </v>
      </c>
      <c r="Q343" s="37" t="str">
        <f>IF(A343&lt;0,'CAR PROMAX FILIAL CRUZ'!U337," ")</f>
        <v xml:space="preserve"> </v>
      </c>
      <c r="R343" s="34" t="str">
        <f>IF(A343&lt;0,'CAR PROMAX FILIAL CRUZ'!V337," ")</f>
        <v xml:space="preserve"> </v>
      </c>
    </row>
    <row r="344" spans="1:18" x14ac:dyDescent="0.25">
      <c r="A344">
        <f>'CAR PROMAX FILIAL CRUZ'!O338</f>
        <v>0</v>
      </c>
      <c r="B344" s="33" t="str">
        <f t="shared" si="13"/>
        <v xml:space="preserve"> </v>
      </c>
      <c r="C344" s="33" t="str">
        <f t="shared" si="12"/>
        <v xml:space="preserve"> </v>
      </c>
      <c r="D344" s="34" t="str">
        <f>IF(A344&lt;0,'CAR PROMAX FILIAL CRUZ'!B338," ")</f>
        <v xml:space="preserve"> </v>
      </c>
      <c r="E344" s="35" t="str">
        <f>IF(A344&lt;0,'CAR PROMAX FILIAL CRUZ'!C338," ")</f>
        <v xml:space="preserve"> </v>
      </c>
      <c r="F344" s="34" t="str">
        <f>IF(A344&lt;0,'CAR PROMAX FILIAL CRUZ'!D338," ")</f>
        <v xml:space="preserve"> </v>
      </c>
      <c r="G344" s="34" t="str">
        <f>IF(A344&lt;0,'CAR PROMAX FILIAL CRUZ'!E338," ")</f>
        <v xml:space="preserve"> </v>
      </c>
      <c r="H344" s="34" t="str">
        <f>IF(A344&lt;0,'CAR PROMAX FILIAL CRUZ'!J338," ")</f>
        <v xml:space="preserve"> </v>
      </c>
      <c r="I344" s="34"/>
      <c r="J344" s="34"/>
      <c r="K344" s="34" t="str">
        <f>IF(A344&lt;0,'CAR PROMAX FILIAL CRUZ'!O338," ")</f>
        <v xml:space="preserve"> </v>
      </c>
      <c r="L344" s="36" t="str">
        <f>IF(A344&lt;0,'CAR PROMAX FILIAL CRUZ'!P338," ")</f>
        <v xml:space="preserve"> </v>
      </c>
      <c r="M344" s="36" t="str">
        <f>IF(A344&lt;0,'CAR PROMAX FILIAL CRUZ'!Q338," ")</f>
        <v xml:space="preserve"> </v>
      </c>
      <c r="N344" s="36" t="str">
        <f>IF(A344&lt;0,'CAR PROMAX FILIAL CRUZ'!R338," ")</f>
        <v xml:space="preserve"> </v>
      </c>
      <c r="O344" s="37" t="str">
        <f>IF(A344&lt;0,'CAR PROMAX FILIAL CRUZ'!S338," ")</f>
        <v xml:space="preserve"> </v>
      </c>
      <c r="P344" s="37" t="str">
        <f>IF(A344&lt;0,'CAR PROMAX FILIAL CRUZ'!T338," ")</f>
        <v xml:space="preserve"> </v>
      </c>
      <c r="Q344" s="37" t="str">
        <f>IF(A344&lt;0,'CAR PROMAX FILIAL CRUZ'!U338," ")</f>
        <v xml:space="preserve"> </v>
      </c>
      <c r="R344" s="34" t="str">
        <f>IF(A344&lt;0,'CAR PROMAX FILIAL CRUZ'!V338," ")</f>
        <v xml:space="preserve"> </v>
      </c>
    </row>
    <row r="345" spans="1:18" x14ac:dyDescent="0.25">
      <c r="A345">
        <f>'CAR PROMAX FILIAL CRUZ'!O339</f>
        <v>0</v>
      </c>
      <c r="B345" s="33" t="str">
        <f t="shared" si="13"/>
        <v xml:space="preserve"> </v>
      </c>
      <c r="C345" s="33" t="str">
        <f t="shared" si="12"/>
        <v xml:space="preserve"> </v>
      </c>
      <c r="D345" s="34" t="str">
        <f>IF(A345&lt;0,'CAR PROMAX FILIAL CRUZ'!B339," ")</f>
        <v xml:space="preserve"> </v>
      </c>
      <c r="E345" s="35" t="str">
        <f>IF(A345&lt;0,'CAR PROMAX FILIAL CRUZ'!C339," ")</f>
        <v xml:space="preserve"> </v>
      </c>
      <c r="F345" s="34" t="str">
        <f>IF(A345&lt;0,'CAR PROMAX FILIAL CRUZ'!D339," ")</f>
        <v xml:space="preserve"> </v>
      </c>
      <c r="G345" s="34" t="str">
        <f>IF(A345&lt;0,'CAR PROMAX FILIAL CRUZ'!E339," ")</f>
        <v xml:space="preserve"> </v>
      </c>
      <c r="H345" s="34" t="str">
        <f>IF(A345&lt;0,'CAR PROMAX FILIAL CRUZ'!J339," ")</f>
        <v xml:space="preserve"> </v>
      </c>
      <c r="I345" s="34"/>
      <c r="J345" s="34"/>
      <c r="K345" s="34" t="str">
        <f>IF(A345&lt;0,'CAR PROMAX FILIAL CRUZ'!O339," ")</f>
        <v xml:space="preserve"> </v>
      </c>
      <c r="L345" s="36" t="str">
        <f>IF(A345&lt;0,'CAR PROMAX FILIAL CRUZ'!P339," ")</f>
        <v xml:space="preserve"> </v>
      </c>
      <c r="M345" s="36" t="str">
        <f>IF(A345&lt;0,'CAR PROMAX FILIAL CRUZ'!Q339," ")</f>
        <v xml:space="preserve"> </v>
      </c>
      <c r="N345" s="36" t="str">
        <f>IF(A345&lt;0,'CAR PROMAX FILIAL CRUZ'!R339," ")</f>
        <v xml:space="preserve"> </v>
      </c>
      <c r="O345" s="37" t="str">
        <f>IF(A345&lt;0,'CAR PROMAX FILIAL CRUZ'!S339," ")</f>
        <v xml:space="preserve"> </v>
      </c>
      <c r="P345" s="37" t="str">
        <f>IF(A345&lt;0,'CAR PROMAX FILIAL CRUZ'!T339," ")</f>
        <v xml:space="preserve"> </v>
      </c>
      <c r="Q345" s="37" t="str">
        <f>IF(A345&lt;0,'CAR PROMAX FILIAL CRUZ'!U339," ")</f>
        <v xml:space="preserve"> </v>
      </c>
      <c r="R345" s="34" t="str">
        <f>IF(A345&lt;0,'CAR PROMAX FILIAL CRUZ'!V339," ")</f>
        <v xml:space="preserve"> </v>
      </c>
    </row>
    <row r="346" spans="1:18" x14ac:dyDescent="0.25">
      <c r="A346">
        <f>'CAR PROMAX FILIAL CRUZ'!O340</f>
        <v>0</v>
      </c>
      <c r="B346" s="33" t="str">
        <f t="shared" si="13"/>
        <v xml:space="preserve"> </v>
      </c>
      <c r="C346" s="33" t="str">
        <f t="shared" si="12"/>
        <v xml:space="preserve"> </v>
      </c>
      <c r="D346" s="34" t="str">
        <f>IF(A346&lt;0,'CAR PROMAX FILIAL CRUZ'!B340," ")</f>
        <v xml:space="preserve"> </v>
      </c>
      <c r="E346" s="35" t="str">
        <f>IF(A346&lt;0,'CAR PROMAX FILIAL CRUZ'!C340," ")</f>
        <v xml:space="preserve"> </v>
      </c>
      <c r="F346" s="34" t="str">
        <f>IF(A346&lt;0,'CAR PROMAX FILIAL CRUZ'!D340," ")</f>
        <v xml:space="preserve"> </v>
      </c>
      <c r="G346" s="34" t="str">
        <f>IF(A346&lt;0,'CAR PROMAX FILIAL CRUZ'!E340," ")</f>
        <v xml:space="preserve"> </v>
      </c>
      <c r="H346" s="34" t="str">
        <f>IF(A346&lt;0,'CAR PROMAX FILIAL CRUZ'!J340," ")</f>
        <v xml:space="preserve"> </v>
      </c>
      <c r="I346" s="34"/>
      <c r="J346" s="34"/>
      <c r="K346" s="34" t="str">
        <f>IF(A346&lt;0,'CAR PROMAX FILIAL CRUZ'!O340," ")</f>
        <v xml:space="preserve"> </v>
      </c>
      <c r="L346" s="36" t="str">
        <f>IF(A346&lt;0,'CAR PROMAX FILIAL CRUZ'!P340," ")</f>
        <v xml:space="preserve"> </v>
      </c>
      <c r="M346" s="36" t="str">
        <f>IF(A346&lt;0,'CAR PROMAX FILIAL CRUZ'!Q340," ")</f>
        <v xml:space="preserve"> </v>
      </c>
      <c r="N346" s="36" t="str">
        <f>IF(A346&lt;0,'CAR PROMAX FILIAL CRUZ'!R340," ")</f>
        <v xml:space="preserve"> </v>
      </c>
      <c r="O346" s="37" t="str">
        <f>IF(A346&lt;0,'CAR PROMAX FILIAL CRUZ'!S340," ")</f>
        <v xml:space="preserve"> </v>
      </c>
      <c r="P346" s="37" t="str">
        <f>IF(A346&lt;0,'CAR PROMAX FILIAL CRUZ'!T340," ")</f>
        <v xml:space="preserve"> </v>
      </c>
      <c r="Q346" s="37" t="str">
        <f>IF(A346&lt;0,'CAR PROMAX FILIAL CRUZ'!U340," ")</f>
        <v xml:space="preserve"> </v>
      </c>
      <c r="R346" s="34" t="str">
        <f>IF(A346&lt;0,'CAR PROMAX FILIAL CRUZ'!V340," ")</f>
        <v xml:space="preserve"> </v>
      </c>
    </row>
    <row r="347" spans="1:18" x14ac:dyDescent="0.25">
      <c r="A347">
        <f>'CAR PROMAX FILIAL CRUZ'!O341</f>
        <v>0</v>
      </c>
      <c r="B347" s="33" t="str">
        <f t="shared" si="13"/>
        <v xml:space="preserve"> </v>
      </c>
      <c r="C347" s="33" t="str">
        <f t="shared" si="12"/>
        <v xml:space="preserve"> </v>
      </c>
      <c r="D347" s="34" t="str">
        <f>IF(A347&lt;0,'CAR PROMAX FILIAL CRUZ'!B341," ")</f>
        <v xml:space="preserve"> </v>
      </c>
      <c r="E347" s="35" t="str">
        <f>IF(A347&lt;0,'CAR PROMAX FILIAL CRUZ'!C341," ")</f>
        <v xml:space="preserve"> </v>
      </c>
      <c r="F347" s="34" t="str">
        <f>IF(A347&lt;0,'CAR PROMAX FILIAL CRUZ'!D341," ")</f>
        <v xml:space="preserve"> </v>
      </c>
      <c r="G347" s="34" t="str">
        <f>IF(A347&lt;0,'CAR PROMAX FILIAL CRUZ'!E341," ")</f>
        <v xml:space="preserve"> </v>
      </c>
      <c r="H347" s="34" t="str">
        <f>IF(A347&lt;0,'CAR PROMAX FILIAL CRUZ'!J341," ")</f>
        <v xml:space="preserve"> </v>
      </c>
      <c r="I347" s="34"/>
      <c r="J347" s="34"/>
      <c r="K347" s="34" t="str">
        <f>IF(A347&lt;0,'CAR PROMAX FILIAL CRUZ'!O341," ")</f>
        <v xml:space="preserve"> </v>
      </c>
      <c r="L347" s="36" t="str">
        <f>IF(A347&lt;0,'CAR PROMAX FILIAL CRUZ'!P341," ")</f>
        <v xml:space="preserve"> </v>
      </c>
      <c r="M347" s="36" t="str">
        <f>IF(A347&lt;0,'CAR PROMAX FILIAL CRUZ'!Q341," ")</f>
        <v xml:space="preserve"> </v>
      </c>
      <c r="N347" s="36" t="str">
        <f>IF(A347&lt;0,'CAR PROMAX FILIAL CRUZ'!R341," ")</f>
        <v xml:space="preserve"> </v>
      </c>
      <c r="O347" s="37" t="str">
        <f>IF(A347&lt;0,'CAR PROMAX FILIAL CRUZ'!S341," ")</f>
        <v xml:space="preserve"> </v>
      </c>
      <c r="P347" s="37" t="str">
        <f>IF(A347&lt;0,'CAR PROMAX FILIAL CRUZ'!T341," ")</f>
        <v xml:space="preserve"> </v>
      </c>
      <c r="Q347" s="37" t="str">
        <f>IF(A347&lt;0,'CAR PROMAX FILIAL CRUZ'!U341," ")</f>
        <v xml:space="preserve"> </v>
      </c>
      <c r="R347" s="34" t="str">
        <f>IF(A347&lt;0,'CAR PROMAX FILIAL CRUZ'!V341," ")</f>
        <v xml:space="preserve"> </v>
      </c>
    </row>
    <row r="348" spans="1:18" x14ac:dyDescent="0.25">
      <c r="A348">
        <f>'CAR PROMAX FILIAL CRUZ'!O342</f>
        <v>0</v>
      </c>
      <c r="B348" s="33" t="str">
        <f t="shared" si="13"/>
        <v xml:space="preserve"> </v>
      </c>
      <c r="C348" s="33" t="str">
        <f t="shared" si="12"/>
        <v xml:space="preserve"> </v>
      </c>
      <c r="D348" s="34" t="str">
        <f>IF(A348&lt;0,'CAR PROMAX FILIAL CRUZ'!B342," ")</f>
        <v xml:space="preserve"> </v>
      </c>
      <c r="E348" s="35" t="str">
        <f>IF(A348&lt;0,'CAR PROMAX FILIAL CRUZ'!C342," ")</f>
        <v xml:space="preserve"> </v>
      </c>
      <c r="F348" s="34" t="str">
        <f>IF(A348&lt;0,'CAR PROMAX FILIAL CRUZ'!D342," ")</f>
        <v xml:space="preserve"> </v>
      </c>
      <c r="G348" s="34" t="str">
        <f>IF(A348&lt;0,'CAR PROMAX FILIAL CRUZ'!E342," ")</f>
        <v xml:space="preserve"> </v>
      </c>
      <c r="H348" s="34" t="str">
        <f>IF(A348&lt;0,'CAR PROMAX FILIAL CRUZ'!J342," ")</f>
        <v xml:space="preserve"> </v>
      </c>
      <c r="I348" s="34"/>
      <c r="J348" s="34"/>
      <c r="K348" s="34" t="str">
        <f>IF(A348&lt;0,'CAR PROMAX FILIAL CRUZ'!O342," ")</f>
        <v xml:space="preserve"> </v>
      </c>
      <c r="L348" s="36" t="str">
        <f>IF(A348&lt;0,'CAR PROMAX FILIAL CRUZ'!P342," ")</f>
        <v xml:space="preserve"> </v>
      </c>
      <c r="M348" s="36" t="str">
        <f>IF(A348&lt;0,'CAR PROMAX FILIAL CRUZ'!Q342," ")</f>
        <v xml:space="preserve"> </v>
      </c>
      <c r="N348" s="36" t="str">
        <f>IF(A348&lt;0,'CAR PROMAX FILIAL CRUZ'!R342," ")</f>
        <v xml:space="preserve"> </v>
      </c>
      <c r="O348" s="37" t="str">
        <f>IF(A348&lt;0,'CAR PROMAX FILIAL CRUZ'!S342," ")</f>
        <v xml:space="preserve"> </v>
      </c>
      <c r="P348" s="37" t="str">
        <f>IF(A348&lt;0,'CAR PROMAX FILIAL CRUZ'!T342," ")</f>
        <v xml:space="preserve"> </v>
      </c>
      <c r="Q348" s="37" t="str">
        <f>IF(A348&lt;0,'CAR PROMAX FILIAL CRUZ'!U342," ")</f>
        <v xml:space="preserve"> </v>
      </c>
      <c r="R348" s="34" t="str">
        <f>IF(A348&lt;0,'CAR PROMAX FILIAL CRUZ'!V342," ")</f>
        <v xml:space="preserve"> </v>
      </c>
    </row>
    <row r="349" spans="1:18" x14ac:dyDescent="0.25">
      <c r="A349">
        <f>'CAR PROMAX FILIAL CRUZ'!O343</f>
        <v>0</v>
      </c>
      <c r="B349" s="33" t="str">
        <f t="shared" si="13"/>
        <v xml:space="preserve"> </v>
      </c>
      <c r="C349" s="33" t="str">
        <f t="shared" si="12"/>
        <v xml:space="preserve"> </v>
      </c>
      <c r="D349" s="34" t="str">
        <f>IF(A349&lt;0,'CAR PROMAX FILIAL CRUZ'!B343," ")</f>
        <v xml:space="preserve"> </v>
      </c>
      <c r="E349" s="35" t="str">
        <f>IF(A349&lt;0,'CAR PROMAX FILIAL CRUZ'!C343," ")</f>
        <v xml:space="preserve"> </v>
      </c>
      <c r="F349" s="34" t="str">
        <f>IF(A349&lt;0,'CAR PROMAX FILIAL CRUZ'!D343," ")</f>
        <v xml:space="preserve"> </v>
      </c>
      <c r="G349" s="34" t="str">
        <f>IF(A349&lt;0,'CAR PROMAX FILIAL CRUZ'!E343," ")</f>
        <v xml:space="preserve"> </v>
      </c>
      <c r="H349" s="34" t="str">
        <f>IF(A349&lt;0,'CAR PROMAX FILIAL CRUZ'!J343," ")</f>
        <v xml:space="preserve"> </v>
      </c>
      <c r="I349" s="34"/>
      <c r="J349" s="34"/>
      <c r="K349" s="34" t="str">
        <f>IF(A349&lt;0,'CAR PROMAX FILIAL CRUZ'!O343," ")</f>
        <v xml:space="preserve"> </v>
      </c>
      <c r="L349" s="36" t="str">
        <f>IF(A349&lt;0,'CAR PROMAX FILIAL CRUZ'!P343," ")</f>
        <v xml:space="preserve"> </v>
      </c>
      <c r="M349" s="36" t="str">
        <f>IF(A349&lt;0,'CAR PROMAX FILIAL CRUZ'!Q343," ")</f>
        <v xml:space="preserve"> </v>
      </c>
      <c r="N349" s="36" t="str">
        <f>IF(A349&lt;0,'CAR PROMAX FILIAL CRUZ'!R343," ")</f>
        <v xml:space="preserve"> </v>
      </c>
      <c r="O349" s="37" t="str">
        <f>IF(A349&lt;0,'CAR PROMAX FILIAL CRUZ'!S343," ")</f>
        <v xml:space="preserve"> </v>
      </c>
      <c r="P349" s="37" t="str">
        <f>IF(A349&lt;0,'CAR PROMAX FILIAL CRUZ'!T343," ")</f>
        <v xml:space="preserve"> </v>
      </c>
      <c r="Q349" s="37" t="str">
        <f>IF(A349&lt;0,'CAR PROMAX FILIAL CRUZ'!U343," ")</f>
        <v xml:space="preserve"> </v>
      </c>
      <c r="R349" s="34" t="str">
        <f>IF(A349&lt;0,'CAR PROMAX FILIAL CRUZ'!V343," ")</f>
        <v xml:space="preserve"> </v>
      </c>
    </row>
    <row r="350" spans="1:18" x14ac:dyDescent="0.25">
      <c r="A350">
        <f>'CAR PROMAX FILIAL CRUZ'!O344</f>
        <v>0</v>
      </c>
      <c r="B350" s="33" t="str">
        <f t="shared" si="13"/>
        <v xml:space="preserve"> </v>
      </c>
      <c r="C350" s="33" t="str">
        <f t="shared" si="12"/>
        <v xml:space="preserve"> </v>
      </c>
      <c r="D350" s="34" t="str">
        <f>IF(A350&lt;0,'CAR PROMAX FILIAL CRUZ'!B344," ")</f>
        <v xml:space="preserve"> </v>
      </c>
      <c r="E350" s="35" t="str">
        <f>IF(A350&lt;0,'CAR PROMAX FILIAL CRUZ'!C344," ")</f>
        <v xml:space="preserve"> </v>
      </c>
      <c r="F350" s="34" t="str">
        <f>IF(A350&lt;0,'CAR PROMAX FILIAL CRUZ'!D344," ")</f>
        <v xml:space="preserve"> </v>
      </c>
      <c r="G350" s="34" t="str">
        <f>IF(A350&lt;0,'CAR PROMAX FILIAL CRUZ'!E344," ")</f>
        <v xml:space="preserve"> </v>
      </c>
      <c r="H350" s="34" t="str">
        <f>IF(A350&lt;0,'CAR PROMAX FILIAL CRUZ'!J344," ")</f>
        <v xml:space="preserve"> </v>
      </c>
      <c r="I350" s="34"/>
      <c r="J350" s="34"/>
      <c r="K350" s="34" t="str">
        <f>IF(A350&lt;0,'CAR PROMAX FILIAL CRUZ'!O344," ")</f>
        <v xml:space="preserve"> </v>
      </c>
      <c r="L350" s="36" t="str">
        <f>IF(A350&lt;0,'CAR PROMAX FILIAL CRUZ'!P344," ")</f>
        <v xml:space="preserve"> </v>
      </c>
      <c r="M350" s="36" t="str">
        <f>IF(A350&lt;0,'CAR PROMAX FILIAL CRUZ'!Q344," ")</f>
        <v xml:space="preserve"> </v>
      </c>
      <c r="N350" s="36" t="str">
        <f>IF(A350&lt;0,'CAR PROMAX FILIAL CRUZ'!R344," ")</f>
        <v xml:space="preserve"> </v>
      </c>
      <c r="O350" s="37" t="str">
        <f>IF(A350&lt;0,'CAR PROMAX FILIAL CRUZ'!S344," ")</f>
        <v xml:space="preserve"> </v>
      </c>
      <c r="P350" s="37" t="str">
        <f>IF(A350&lt;0,'CAR PROMAX FILIAL CRUZ'!T344," ")</f>
        <v xml:space="preserve"> </v>
      </c>
      <c r="Q350" s="37" t="str">
        <f>IF(A350&lt;0,'CAR PROMAX FILIAL CRUZ'!U344," ")</f>
        <v xml:space="preserve"> </v>
      </c>
      <c r="R350" s="34" t="str">
        <f>IF(A350&lt;0,'CAR PROMAX FILIAL CRUZ'!V344," ")</f>
        <v xml:space="preserve"> </v>
      </c>
    </row>
    <row r="351" spans="1:18" x14ac:dyDescent="0.25">
      <c r="A351">
        <f>'CAR PROMAX FILIAL CRUZ'!O345</f>
        <v>0</v>
      </c>
      <c r="B351" s="33" t="str">
        <f t="shared" si="13"/>
        <v xml:space="preserve"> </v>
      </c>
      <c r="C351" s="33" t="str">
        <f t="shared" si="12"/>
        <v xml:space="preserve"> </v>
      </c>
      <c r="D351" s="34" t="str">
        <f>IF(A351&lt;0,'CAR PROMAX FILIAL CRUZ'!B345," ")</f>
        <v xml:space="preserve"> </v>
      </c>
      <c r="E351" s="35" t="str">
        <f>IF(A351&lt;0,'CAR PROMAX FILIAL CRUZ'!C345," ")</f>
        <v xml:space="preserve"> </v>
      </c>
      <c r="F351" s="34" t="str">
        <f>IF(A351&lt;0,'CAR PROMAX FILIAL CRUZ'!D345," ")</f>
        <v xml:space="preserve"> </v>
      </c>
      <c r="G351" s="34" t="str">
        <f>IF(A351&lt;0,'CAR PROMAX FILIAL CRUZ'!E345," ")</f>
        <v xml:space="preserve"> </v>
      </c>
      <c r="H351" s="34" t="str">
        <f>IF(A351&lt;0,'CAR PROMAX FILIAL CRUZ'!J345," ")</f>
        <v xml:space="preserve"> </v>
      </c>
      <c r="I351" s="34"/>
      <c r="J351" s="34"/>
      <c r="K351" s="34" t="str">
        <f>IF(A351&lt;0,'CAR PROMAX FILIAL CRUZ'!O345," ")</f>
        <v xml:space="preserve"> </v>
      </c>
      <c r="L351" s="36" t="str">
        <f>IF(A351&lt;0,'CAR PROMAX FILIAL CRUZ'!P345," ")</f>
        <v xml:space="preserve"> </v>
      </c>
      <c r="M351" s="36" t="str">
        <f>IF(A351&lt;0,'CAR PROMAX FILIAL CRUZ'!Q345," ")</f>
        <v xml:space="preserve"> </v>
      </c>
      <c r="N351" s="36" t="str">
        <f>IF(A351&lt;0,'CAR PROMAX FILIAL CRUZ'!R345," ")</f>
        <v xml:space="preserve"> </v>
      </c>
      <c r="O351" s="37" t="str">
        <f>IF(A351&lt;0,'CAR PROMAX FILIAL CRUZ'!S345," ")</f>
        <v xml:space="preserve"> </v>
      </c>
      <c r="P351" s="37" t="str">
        <f>IF(A351&lt;0,'CAR PROMAX FILIAL CRUZ'!T345," ")</f>
        <v xml:space="preserve"> </v>
      </c>
      <c r="Q351" s="37" t="str">
        <f>IF(A351&lt;0,'CAR PROMAX FILIAL CRUZ'!U345," ")</f>
        <v xml:space="preserve"> </v>
      </c>
      <c r="R351" s="34" t="str">
        <f>IF(A351&lt;0,'CAR PROMAX FILIAL CRUZ'!V345," ")</f>
        <v xml:space="preserve"> </v>
      </c>
    </row>
    <row r="352" spans="1:18" x14ac:dyDescent="0.25">
      <c r="A352">
        <f>'CAR PROMAX FILIAL CRUZ'!O346</f>
        <v>0</v>
      </c>
      <c r="B352" s="33" t="str">
        <f t="shared" si="13"/>
        <v xml:space="preserve"> </v>
      </c>
      <c r="C352" s="33" t="str">
        <f t="shared" si="12"/>
        <v xml:space="preserve"> </v>
      </c>
      <c r="D352" s="34" t="str">
        <f>IF(A352&lt;0,'CAR PROMAX FILIAL CRUZ'!B346," ")</f>
        <v xml:space="preserve"> </v>
      </c>
      <c r="E352" s="35" t="str">
        <f>IF(A352&lt;0,'CAR PROMAX FILIAL CRUZ'!C346," ")</f>
        <v xml:space="preserve"> </v>
      </c>
      <c r="F352" s="34" t="str">
        <f>IF(A352&lt;0,'CAR PROMAX FILIAL CRUZ'!D346," ")</f>
        <v xml:space="preserve"> </v>
      </c>
      <c r="G352" s="34" t="str">
        <f>IF(A352&lt;0,'CAR PROMAX FILIAL CRUZ'!E346," ")</f>
        <v xml:space="preserve"> </v>
      </c>
      <c r="H352" s="34" t="str">
        <f>IF(A352&lt;0,'CAR PROMAX FILIAL CRUZ'!J346," ")</f>
        <v xml:space="preserve"> </v>
      </c>
      <c r="I352" s="34"/>
      <c r="J352" s="34"/>
      <c r="K352" s="34" t="str">
        <f>IF(A352&lt;0,'CAR PROMAX FILIAL CRUZ'!O346," ")</f>
        <v xml:space="preserve"> </v>
      </c>
      <c r="L352" s="36" t="str">
        <f>IF(A352&lt;0,'CAR PROMAX FILIAL CRUZ'!P346," ")</f>
        <v xml:space="preserve"> </v>
      </c>
      <c r="M352" s="36" t="str">
        <f>IF(A352&lt;0,'CAR PROMAX FILIAL CRUZ'!Q346," ")</f>
        <v xml:space="preserve"> </v>
      </c>
      <c r="N352" s="36" t="str">
        <f>IF(A352&lt;0,'CAR PROMAX FILIAL CRUZ'!R346," ")</f>
        <v xml:space="preserve"> </v>
      </c>
      <c r="O352" s="37" t="str">
        <f>IF(A352&lt;0,'CAR PROMAX FILIAL CRUZ'!S346," ")</f>
        <v xml:space="preserve"> </v>
      </c>
      <c r="P352" s="37" t="str">
        <f>IF(A352&lt;0,'CAR PROMAX FILIAL CRUZ'!T346," ")</f>
        <v xml:space="preserve"> </v>
      </c>
      <c r="Q352" s="37" t="str">
        <f>IF(A352&lt;0,'CAR PROMAX FILIAL CRUZ'!U346," ")</f>
        <v xml:space="preserve"> </v>
      </c>
      <c r="R352" s="34" t="str">
        <f>IF(A352&lt;0,'CAR PROMAX FILIAL CRUZ'!V346," ")</f>
        <v xml:space="preserve"> </v>
      </c>
    </row>
    <row r="353" spans="1:18" x14ac:dyDescent="0.25">
      <c r="A353">
        <f>'CAR PROMAX FILIAL CRUZ'!O347</f>
        <v>0</v>
      </c>
      <c r="B353" s="33" t="str">
        <f t="shared" si="13"/>
        <v xml:space="preserve"> </v>
      </c>
      <c r="C353" s="33" t="str">
        <f t="shared" si="12"/>
        <v xml:space="preserve"> </v>
      </c>
      <c r="D353" s="34" t="str">
        <f>IF(A353&lt;0,'CAR PROMAX FILIAL CRUZ'!B347," ")</f>
        <v xml:space="preserve"> </v>
      </c>
      <c r="E353" s="35" t="str">
        <f>IF(A353&lt;0,'CAR PROMAX FILIAL CRUZ'!C347," ")</f>
        <v xml:space="preserve"> </v>
      </c>
      <c r="F353" s="34" t="str">
        <f>IF(A353&lt;0,'CAR PROMAX FILIAL CRUZ'!D347," ")</f>
        <v xml:space="preserve"> </v>
      </c>
      <c r="G353" s="34" t="str">
        <f>IF(A353&lt;0,'CAR PROMAX FILIAL CRUZ'!E347," ")</f>
        <v xml:space="preserve"> </v>
      </c>
      <c r="H353" s="34" t="str">
        <f>IF(A353&lt;0,'CAR PROMAX FILIAL CRUZ'!J347," ")</f>
        <v xml:space="preserve"> </v>
      </c>
      <c r="I353" s="34"/>
      <c r="J353" s="34"/>
      <c r="K353" s="34" t="str">
        <f>IF(A353&lt;0,'CAR PROMAX FILIAL CRUZ'!O347," ")</f>
        <v xml:space="preserve"> </v>
      </c>
      <c r="L353" s="36" t="str">
        <f>IF(A353&lt;0,'CAR PROMAX FILIAL CRUZ'!P347," ")</f>
        <v xml:space="preserve"> </v>
      </c>
      <c r="M353" s="36" t="str">
        <f>IF(A353&lt;0,'CAR PROMAX FILIAL CRUZ'!Q347," ")</f>
        <v xml:space="preserve"> </v>
      </c>
      <c r="N353" s="36" t="str">
        <f>IF(A353&lt;0,'CAR PROMAX FILIAL CRUZ'!R347," ")</f>
        <v xml:space="preserve"> </v>
      </c>
      <c r="O353" s="37" t="str">
        <f>IF(A353&lt;0,'CAR PROMAX FILIAL CRUZ'!S347," ")</f>
        <v xml:space="preserve"> </v>
      </c>
      <c r="P353" s="37" t="str">
        <f>IF(A353&lt;0,'CAR PROMAX FILIAL CRUZ'!T347," ")</f>
        <v xml:space="preserve"> </v>
      </c>
      <c r="Q353" s="37" t="str">
        <f>IF(A353&lt;0,'CAR PROMAX FILIAL CRUZ'!U347," ")</f>
        <v xml:space="preserve"> </v>
      </c>
      <c r="R353" s="34" t="str">
        <f>IF(A353&lt;0,'CAR PROMAX FILIAL CRUZ'!V347," ")</f>
        <v xml:space="preserve"> </v>
      </c>
    </row>
    <row r="354" spans="1:18" x14ac:dyDescent="0.25">
      <c r="A354">
        <f>'CAR PROMAX FILIAL CRUZ'!O348</f>
        <v>0</v>
      </c>
      <c r="B354" s="33" t="str">
        <f t="shared" si="13"/>
        <v xml:space="preserve"> </v>
      </c>
      <c r="C354" s="33" t="str">
        <f t="shared" si="12"/>
        <v xml:space="preserve"> </v>
      </c>
      <c r="D354" s="34" t="str">
        <f>IF(A354&lt;0,'CAR PROMAX FILIAL CRUZ'!B348," ")</f>
        <v xml:space="preserve"> </v>
      </c>
      <c r="E354" s="35" t="str">
        <f>IF(A354&lt;0,'CAR PROMAX FILIAL CRUZ'!C348," ")</f>
        <v xml:space="preserve"> </v>
      </c>
      <c r="F354" s="34" t="str">
        <f>IF(A354&lt;0,'CAR PROMAX FILIAL CRUZ'!D348," ")</f>
        <v xml:space="preserve"> </v>
      </c>
      <c r="G354" s="34" t="str">
        <f>IF(A354&lt;0,'CAR PROMAX FILIAL CRUZ'!E348," ")</f>
        <v xml:space="preserve"> </v>
      </c>
      <c r="H354" s="34" t="str">
        <f>IF(A354&lt;0,'CAR PROMAX FILIAL CRUZ'!J348," ")</f>
        <v xml:space="preserve"> </v>
      </c>
      <c r="I354" s="34"/>
      <c r="J354" s="34"/>
      <c r="K354" s="34" t="str">
        <f>IF(A354&lt;0,'CAR PROMAX FILIAL CRUZ'!O348," ")</f>
        <v xml:space="preserve"> </v>
      </c>
      <c r="L354" s="36" t="str">
        <f>IF(A354&lt;0,'CAR PROMAX FILIAL CRUZ'!P348," ")</f>
        <v xml:space="preserve"> </v>
      </c>
      <c r="M354" s="36" t="str">
        <f>IF(A354&lt;0,'CAR PROMAX FILIAL CRUZ'!Q348," ")</f>
        <v xml:space="preserve"> </v>
      </c>
      <c r="N354" s="36" t="str">
        <f>IF(A354&lt;0,'CAR PROMAX FILIAL CRUZ'!R348," ")</f>
        <v xml:space="preserve"> </v>
      </c>
      <c r="O354" s="37" t="str">
        <f>IF(A354&lt;0,'CAR PROMAX FILIAL CRUZ'!S348," ")</f>
        <v xml:space="preserve"> </v>
      </c>
      <c r="P354" s="37" t="str">
        <f>IF(A354&lt;0,'CAR PROMAX FILIAL CRUZ'!T348," ")</f>
        <v xml:space="preserve"> </v>
      </c>
      <c r="Q354" s="37" t="str">
        <f>IF(A354&lt;0,'CAR PROMAX FILIAL CRUZ'!U348," ")</f>
        <v xml:space="preserve"> </v>
      </c>
      <c r="R354" s="34" t="str">
        <f>IF(A354&lt;0,'CAR PROMAX FILIAL CRUZ'!V348," ")</f>
        <v xml:space="preserve"> </v>
      </c>
    </row>
    <row r="355" spans="1:18" x14ac:dyDescent="0.25">
      <c r="A355">
        <f>'CAR PROMAX FILIAL CRUZ'!O349</f>
        <v>0</v>
      </c>
      <c r="B355" s="33" t="str">
        <f t="shared" si="13"/>
        <v xml:space="preserve"> </v>
      </c>
      <c r="C355" s="33" t="str">
        <f t="shared" si="12"/>
        <v xml:space="preserve"> </v>
      </c>
      <c r="D355" s="34" t="str">
        <f>IF(A355&lt;0,'CAR PROMAX FILIAL CRUZ'!B349," ")</f>
        <v xml:space="preserve"> </v>
      </c>
      <c r="E355" s="35" t="str">
        <f>IF(A355&lt;0,'CAR PROMAX FILIAL CRUZ'!C349," ")</f>
        <v xml:space="preserve"> </v>
      </c>
      <c r="F355" s="34" t="str">
        <f>IF(A355&lt;0,'CAR PROMAX FILIAL CRUZ'!D349," ")</f>
        <v xml:space="preserve"> </v>
      </c>
      <c r="G355" s="34" t="str">
        <f>IF(A355&lt;0,'CAR PROMAX FILIAL CRUZ'!E349," ")</f>
        <v xml:space="preserve"> </v>
      </c>
      <c r="H355" s="34" t="str">
        <f>IF(A355&lt;0,'CAR PROMAX FILIAL CRUZ'!J349," ")</f>
        <v xml:space="preserve"> </v>
      </c>
      <c r="I355" s="34"/>
      <c r="J355" s="34"/>
      <c r="K355" s="34" t="str">
        <f>IF(A355&lt;0,'CAR PROMAX FILIAL CRUZ'!O349," ")</f>
        <v xml:space="preserve"> </v>
      </c>
      <c r="L355" s="36" t="str">
        <f>IF(A355&lt;0,'CAR PROMAX FILIAL CRUZ'!P349," ")</f>
        <v xml:space="preserve"> </v>
      </c>
      <c r="M355" s="36" t="str">
        <f>IF(A355&lt;0,'CAR PROMAX FILIAL CRUZ'!Q349," ")</f>
        <v xml:space="preserve"> </v>
      </c>
      <c r="N355" s="36" t="str">
        <f>IF(A355&lt;0,'CAR PROMAX FILIAL CRUZ'!R349," ")</f>
        <v xml:space="preserve"> </v>
      </c>
      <c r="O355" s="37" t="str">
        <f>IF(A355&lt;0,'CAR PROMAX FILIAL CRUZ'!S349," ")</f>
        <v xml:space="preserve"> </v>
      </c>
      <c r="P355" s="37" t="str">
        <f>IF(A355&lt;0,'CAR PROMAX FILIAL CRUZ'!T349," ")</f>
        <v xml:space="preserve"> </v>
      </c>
      <c r="Q355" s="37" t="str">
        <f>IF(A355&lt;0,'CAR PROMAX FILIAL CRUZ'!U349," ")</f>
        <v xml:space="preserve"> </v>
      </c>
      <c r="R355" s="34" t="str">
        <f>IF(A355&lt;0,'CAR PROMAX FILIAL CRUZ'!V349," ")</f>
        <v xml:space="preserve"> </v>
      </c>
    </row>
    <row r="356" spans="1:18" x14ac:dyDescent="0.25">
      <c r="A356">
        <f>'CAR PROMAX FILIAL CRUZ'!O350</f>
        <v>0</v>
      </c>
      <c r="B356" s="33" t="str">
        <f t="shared" si="13"/>
        <v xml:space="preserve"> </v>
      </c>
      <c r="C356" s="33" t="str">
        <f t="shared" si="12"/>
        <v xml:space="preserve"> </v>
      </c>
      <c r="D356" s="34" t="str">
        <f>IF(A356&lt;0,'CAR PROMAX FILIAL CRUZ'!B350," ")</f>
        <v xml:space="preserve"> </v>
      </c>
      <c r="E356" s="35" t="str">
        <f>IF(A356&lt;0,'CAR PROMAX FILIAL CRUZ'!C350," ")</f>
        <v xml:space="preserve"> </v>
      </c>
      <c r="F356" s="34" t="str">
        <f>IF(A356&lt;0,'CAR PROMAX FILIAL CRUZ'!D350," ")</f>
        <v xml:space="preserve"> </v>
      </c>
      <c r="G356" s="34" t="str">
        <f>IF(A356&lt;0,'CAR PROMAX FILIAL CRUZ'!E350," ")</f>
        <v xml:space="preserve"> </v>
      </c>
      <c r="H356" s="34" t="str">
        <f>IF(A356&lt;0,'CAR PROMAX FILIAL CRUZ'!J350," ")</f>
        <v xml:space="preserve"> </v>
      </c>
      <c r="I356" s="34"/>
      <c r="J356" s="34"/>
      <c r="K356" s="34" t="str">
        <f>IF(A356&lt;0,'CAR PROMAX FILIAL CRUZ'!O350," ")</f>
        <v xml:space="preserve"> </v>
      </c>
      <c r="L356" s="36" t="str">
        <f>IF(A356&lt;0,'CAR PROMAX FILIAL CRUZ'!P350," ")</f>
        <v xml:space="preserve"> </v>
      </c>
      <c r="M356" s="36" t="str">
        <f>IF(A356&lt;0,'CAR PROMAX FILIAL CRUZ'!Q350," ")</f>
        <v xml:space="preserve"> </v>
      </c>
      <c r="N356" s="36" t="str">
        <f>IF(A356&lt;0,'CAR PROMAX FILIAL CRUZ'!R350," ")</f>
        <v xml:space="preserve"> </v>
      </c>
      <c r="O356" s="37" t="str">
        <f>IF(A356&lt;0,'CAR PROMAX FILIAL CRUZ'!S350," ")</f>
        <v xml:space="preserve"> </v>
      </c>
      <c r="P356" s="37" t="str">
        <f>IF(A356&lt;0,'CAR PROMAX FILIAL CRUZ'!T350," ")</f>
        <v xml:space="preserve"> </v>
      </c>
      <c r="Q356" s="37" t="str">
        <f>IF(A356&lt;0,'CAR PROMAX FILIAL CRUZ'!U350," ")</f>
        <v xml:space="preserve"> </v>
      </c>
      <c r="R356" s="34" t="str">
        <f>IF(A356&lt;0,'CAR PROMAX FILIAL CRUZ'!V350," ")</f>
        <v xml:space="preserve"> </v>
      </c>
    </row>
    <row r="357" spans="1:18" x14ac:dyDescent="0.25">
      <c r="A357">
        <f>'CAR PROMAX FILIAL CRUZ'!O351</f>
        <v>0</v>
      </c>
      <c r="B357" s="33" t="str">
        <f t="shared" si="13"/>
        <v xml:space="preserve"> </v>
      </c>
      <c r="C357" s="33" t="str">
        <f t="shared" si="12"/>
        <v xml:space="preserve"> </v>
      </c>
      <c r="D357" s="34" t="str">
        <f>IF(A357&lt;0,'CAR PROMAX FILIAL CRUZ'!B351," ")</f>
        <v xml:space="preserve"> </v>
      </c>
      <c r="E357" s="35" t="str">
        <f>IF(A357&lt;0,'CAR PROMAX FILIAL CRUZ'!C351," ")</f>
        <v xml:space="preserve"> </v>
      </c>
      <c r="F357" s="34" t="str">
        <f>IF(A357&lt;0,'CAR PROMAX FILIAL CRUZ'!D351," ")</f>
        <v xml:space="preserve"> </v>
      </c>
      <c r="G357" s="34" t="str">
        <f>IF(A357&lt;0,'CAR PROMAX FILIAL CRUZ'!E351," ")</f>
        <v xml:space="preserve"> </v>
      </c>
      <c r="H357" s="34" t="str">
        <f>IF(A357&lt;0,'CAR PROMAX FILIAL CRUZ'!J351," ")</f>
        <v xml:space="preserve"> </v>
      </c>
      <c r="I357" s="34"/>
      <c r="J357" s="34"/>
      <c r="K357" s="34" t="str">
        <f>IF(A357&lt;0,'CAR PROMAX FILIAL CRUZ'!O351," ")</f>
        <v xml:space="preserve"> </v>
      </c>
      <c r="L357" s="36" t="str">
        <f>IF(A357&lt;0,'CAR PROMAX FILIAL CRUZ'!P351," ")</f>
        <v xml:space="preserve"> </v>
      </c>
      <c r="M357" s="36" t="str">
        <f>IF(A357&lt;0,'CAR PROMAX FILIAL CRUZ'!Q351," ")</f>
        <v xml:space="preserve"> </v>
      </c>
      <c r="N357" s="36" t="str">
        <f>IF(A357&lt;0,'CAR PROMAX FILIAL CRUZ'!R351," ")</f>
        <v xml:space="preserve"> </v>
      </c>
      <c r="O357" s="37" t="str">
        <f>IF(A357&lt;0,'CAR PROMAX FILIAL CRUZ'!S351," ")</f>
        <v xml:space="preserve"> </v>
      </c>
      <c r="P357" s="37" t="str">
        <f>IF(A357&lt;0,'CAR PROMAX FILIAL CRUZ'!T351," ")</f>
        <v xml:space="preserve"> </v>
      </c>
      <c r="Q357" s="37" t="str">
        <f>IF(A357&lt;0,'CAR PROMAX FILIAL CRUZ'!U351," ")</f>
        <v xml:space="preserve"> </v>
      </c>
      <c r="R357" s="34" t="str">
        <f>IF(A357&lt;0,'CAR PROMAX FILIAL CRUZ'!V351," ")</f>
        <v xml:space="preserve"> </v>
      </c>
    </row>
    <row r="358" spans="1:18" x14ac:dyDescent="0.25">
      <c r="A358">
        <f>'CAR PROMAX FILIAL CRUZ'!O352</f>
        <v>0</v>
      </c>
      <c r="B358" s="33" t="str">
        <f t="shared" si="13"/>
        <v xml:space="preserve"> </v>
      </c>
      <c r="C358" s="33" t="str">
        <f t="shared" si="12"/>
        <v xml:space="preserve"> </v>
      </c>
      <c r="D358" s="34" t="str">
        <f>IF(A358&lt;0,'CAR PROMAX FILIAL CRUZ'!B352," ")</f>
        <v xml:space="preserve"> </v>
      </c>
      <c r="E358" s="35" t="str">
        <f>IF(A358&lt;0,'CAR PROMAX FILIAL CRUZ'!C352," ")</f>
        <v xml:space="preserve"> </v>
      </c>
      <c r="F358" s="34" t="str">
        <f>IF(A358&lt;0,'CAR PROMAX FILIAL CRUZ'!D352," ")</f>
        <v xml:space="preserve"> </v>
      </c>
      <c r="G358" s="34" t="str">
        <f>IF(A358&lt;0,'CAR PROMAX FILIAL CRUZ'!E352," ")</f>
        <v xml:space="preserve"> </v>
      </c>
      <c r="H358" s="34" t="str">
        <f>IF(A358&lt;0,'CAR PROMAX FILIAL CRUZ'!J352," ")</f>
        <v xml:space="preserve"> </v>
      </c>
      <c r="I358" s="34"/>
      <c r="J358" s="34"/>
      <c r="K358" s="34" t="str">
        <f>IF(A358&lt;0,'CAR PROMAX FILIAL CRUZ'!O352," ")</f>
        <v xml:space="preserve"> </v>
      </c>
      <c r="L358" s="36" t="str">
        <f>IF(A358&lt;0,'CAR PROMAX FILIAL CRUZ'!P352," ")</f>
        <v xml:space="preserve"> </v>
      </c>
      <c r="M358" s="36" t="str">
        <f>IF(A358&lt;0,'CAR PROMAX FILIAL CRUZ'!Q352," ")</f>
        <v xml:space="preserve"> </v>
      </c>
      <c r="N358" s="36" t="str">
        <f>IF(A358&lt;0,'CAR PROMAX FILIAL CRUZ'!R352," ")</f>
        <v xml:space="preserve"> </v>
      </c>
      <c r="O358" s="37" t="str">
        <f>IF(A358&lt;0,'CAR PROMAX FILIAL CRUZ'!S352," ")</f>
        <v xml:space="preserve"> </v>
      </c>
      <c r="P358" s="37" t="str">
        <f>IF(A358&lt;0,'CAR PROMAX FILIAL CRUZ'!T352," ")</f>
        <v xml:space="preserve"> </v>
      </c>
      <c r="Q358" s="37" t="str">
        <f>IF(A358&lt;0,'CAR PROMAX FILIAL CRUZ'!U352," ")</f>
        <v xml:space="preserve"> </v>
      </c>
      <c r="R358" s="34" t="str">
        <f>IF(A358&lt;0,'CAR PROMAX FILIAL CRUZ'!V352," ")</f>
        <v xml:space="preserve"> </v>
      </c>
    </row>
    <row r="359" spans="1:18" x14ac:dyDescent="0.25">
      <c r="A359">
        <f>'CAR PROMAX FILIAL CRUZ'!O353</f>
        <v>0</v>
      </c>
      <c r="B359" s="33" t="str">
        <f t="shared" si="13"/>
        <v xml:space="preserve"> </v>
      </c>
      <c r="C359" s="33" t="str">
        <f t="shared" si="12"/>
        <v xml:space="preserve"> </v>
      </c>
      <c r="D359" s="34" t="str">
        <f>IF(A359&lt;0,'CAR PROMAX FILIAL CRUZ'!B353," ")</f>
        <v xml:space="preserve"> </v>
      </c>
      <c r="E359" s="35" t="str">
        <f>IF(A359&lt;0,'CAR PROMAX FILIAL CRUZ'!C353," ")</f>
        <v xml:space="preserve"> </v>
      </c>
      <c r="F359" s="34" t="str">
        <f>IF(A359&lt;0,'CAR PROMAX FILIAL CRUZ'!D353," ")</f>
        <v xml:space="preserve"> </v>
      </c>
      <c r="G359" s="34" t="str">
        <f>IF(A359&lt;0,'CAR PROMAX FILIAL CRUZ'!E353," ")</f>
        <v xml:space="preserve"> </v>
      </c>
      <c r="H359" s="34" t="str">
        <f>IF(A359&lt;0,'CAR PROMAX FILIAL CRUZ'!J353," ")</f>
        <v xml:space="preserve"> </v>
      </c>
      <c r="I359" s="34"/>
      <c r="J359" s="34"/>
      <c r="K359" s="34" t="str">
        <f>IF(A359&lt;0,'CAR PROMAX FILIAL CRUZ'!O353," ")</f>
        <v xml:space="preserve"> </v>
      </c>
      <c r="L359" s="36" t="str">
        <f>IF(A359&lt;0,'CAR PROMAX FILIAL CRUZ'!P353," ")</f>
        <v xml:space="preserve"> </v>
      </c>
      <c r="M359" s="36" t="str">
        <f>IF(A359&lt;0,'CAR PROMAX FILIAL CRUZ'!Q353," ")</f>
        <v xml:space="preserve"> </v>
      </c>
      <c r="N359" s="36" t="str">
        <f>IF(A359&lt;0,'CAR PROMAX FILIAL CRUZ'!R353," ")</f>
        <v xml:space="preserve"> </v>
      </c>
      <c r="O359" s="37" t="str">
        <f>IF(A359&lt;0,'CAR PROMAX FILIAL CRUZ'!S353," ")</f>
        <v xml:space="preserve"> </v>
      </c>
      <c r="P359" s="37" t="str">
        <f>IF(A359&lt;0,'CAR PROMAX FILIAL CRUZ'!T353," ")</f>
        <v xml:space="preserve"> </v>
      </c>
      <c r="Q359" s="37" t="str">
        <f>IF(A359&lt;0,'CAR PROMAX FILIAL CRUZ'!U353," ")</f>
        <v xml:space="preserve"> </v>
      </c>
      <c r="R359" s="34" t="str">
        <f>IF(A359&lt;0,'CAR PROMAX FILIAL CRUZ'!V353," ")</f>
        <v xml:space="preserve"> </v>
      </c>
    </row>
    <row r="360" spans="1:18" x14ac:dyDescent="0.25">
      <c r="A360">
        <f>'CAR PROMAX FILIAL CRUZ'!O354</f>
        <v>0</v>
      </c>
      <c r="B360" s="33" t="str">
        <f t="shared" si="13"/>
        <v xml:space="preserve"> </v>
      </c>
      <c r="C360" s="33" t="str">
        <f t="shared" si="12"/>
        <v xml:space="preserve"> </v>
      </c>
      <c r="D360" s="34" t="str">
        <f>IF(A360&lt;0,'CAR PROMAX FILIAL CRUZ'!B354," ")</f>
        <v xml:space="preserve"> </v>
      </c>
      <c r="E360" s="35" t="str">
        <f>IF(A360&lt;0,'CAR PROMAX FILIAL CRUZ'!C354," ")</f>
        <v xml:space="preserve"> </v>
      </c>
      <c r="F360" s="34" t="str">
        <f>IF(A360&lt;0,'CAR PROMAX FILIAL CRUZ'!D354," ")</f>
        <v xml:space="preserve"> </v>
      </c>
      <c r="G360" s="34" t="str">
        <f>IF(A360&lt;0,'CAR PROMAX FILIAL CRUZ'!E354," ")</f>
        <v xml:space="preserve"> </v>
      </c>
      <c r="H360" s="34" t="str">
        <f>IF(A360&lt;0,'CAR PROMAX FILIAL CRUZ'!J354," ")</f>
        <v xml:space="preserve"> </v>
      </c>
      <c r="I360" s="34"/>
      <c r="J360" s="34"/>
      <c r="K360" s="34" t="str">
        <f>IF(A360&lt;0,'CAR PROMAX FILIAL CRUZ'!O354," ")</f>
        <v xml:space="preserve"> </v>
      </c>
      <c r="L360" s="36" t="str">
        <f>IF(A360&lt;0,'CAR PROMAX FILIAL CRUZ'!P354," ")</f>
        <v xml:space="preserve"> </v>
      </c>
      <c r="M360" s="36" t="str">
        <f>IF(A360&lt;0,'CAR PROMAX FILIAL CRUZ'!Q354," ")</f>
        <v xml:space="preserve"> </v>
      </c>
      <c r="N360" s="36" t="str">
        <f>IF(A360&lt;0,'CAR PROMAX FILIAL CRUZ'!R354," ")</f>
        <v xml:space="preserve"> </v>
      </c>
      <c r="O360" s="37" t="str">
        <f>IF(A360&lt;0,'CAR PROMAX FILIAL CRUZ'!S354," ")</f>
        <v xml:space="preserve"> </v>
      </c>
      <c r="P360" s="37" t="str">
        <f>IF(A360&lt;0,'CAR PROMAX FILIAL CRUZ'!T354," ")</f>
        <v xml:space="preserve"> </v>
      </c>
      <c r="Q360" s="37" t="str">
        <f>IF(A360&lt;0,'CAR PROMAX FILIAL CRUZ'!U354," ")</f>
        <v xml:space="preserve"> </v>
      </c>
      <c r="R360" s="34" t="str">
        <f>IF(A360&lt;0,'CAR PROMAX FILIAL CRUZ'!V354," ")</f>
        <v xml:space="preserve"> </v>
      </c>
    </row>
    <row r="361" spans="1:18" x14ac:dyDescent="0.25">
      <c r="A361">
        <f>'CAR PROMAX FILIAL CRUZ'!O355</f>
        <v>0</v>
      </c>
      <c r="B361" s="33" t="str">
        <f t="shared" si="13"/>
        <v xml:space="preserve"> </v>
      </c>
      <c r="C361" s="33" t="str">
        <f t="shared" si="12"/>
        <v xml:space="preserve"> </v>
      </c>
      <c r="D361" s="34" t="str">
        <f>IF(A361&lt;0,'CAR PROMAX FILIAL CRUZ'!B355," ")</f>
        <v xml:space="preserve"> </v>
      </c>
      <c r="E361" s="35" t="str">
        <f>IF(A361&lt;0,'CAR PROMAX FILIAL CRUZ'!C355," ")</f>
        <v xml:space="preserve"> </v>
      </c>
      <c r="F361" s="34" t="str">
        <f>IF(A361&lt;0,'CAR PROMAX FILIAL CRUZ'!D355," ")</f>
        <v xml:space="preserve"> </v>
      </c>
      <c r="G361" s="34" t="str">
        <f>IF(A361&lt;0,'CAR PROMAX FILIAL CRUZ'!E355," ")</f>
        <v xml:space="preserve"> </v>
      </c>
      <c r="H361" s="34" t="str">
        <f>IF(A361&lt;0,'CAR PROMAX FILIAL CRUZ'!J355," ")</f>
        <v xml:space="preserve"> </v>
      </c>
      <c r="I361" s="34"/>
      <c r="J361" s="34"/>
      <c r="K361" s="34" t="str">
        <f>IF(A361&lt;0,'CAR PROMAX FILIAL CRUZ'!O355," ")</f>
        <v xml:space="preserve"> </v>
      </c>
      <c r="L361" s="36" t="str">
        <f>IF(A361&lt;0,'CAR PROMAX FILIAL CRUZ'!P355," ")</f>
        <v xml:space="preserve"> </v>
      </c>
      <c r="M361" s="36" t="str">
        <f>IF(A361&lt;0,'CAR PROMAX FILIAL CRUZ'!Q355," ")</f>
        <v xml:space="preserve"> </v>
      </c>
      <c r="N361" s="36" t="str">
        <f>IF(A361&lt;0,'CAR PROMAX FILIAL CRUZ'!R355," ")</f>
        <v xml:space="preserve"> </v>
      </c>
      <c r="O361" s="37" t="str">
        <f>IF(A361&lt;0,'CAR PROMAX FILIAL CRUZ'!S355," ")</f>
        <v xml:space="preserve"> </v>
      </c>
      <c r="P361" s="37" t="str">
        <f>IF(A361&lt;0,'CAR PROMAX FILIAL CRUZ'!T355," ")</f>
        <v xml:space="preserve"> </v>
      </c>
      <c r="Q361" s="37" t="str">
        <f>IF(A361&lt;0,'CAR PROMAX FILIAL CRUZ'!U355," ")</f>
        <v xml:space="preserve"> </v>
      </c>
      <c r="R361" s="34" t="str">
        <f>IF(A361&lt;0,'CAR PROMAX FILIAL CRUZ'!V355," ")</f>
        <v xml:space="preserve"> </v>
      </c>
    </row>
    <row r="362" spans="1:18" x14ac:dyDescent="0.25">
      <c r="A362">
        <f>'CAR PROMAX FILIAL CRUZ'!O356</f>
        <v>0</v>
      </c>
      <c r="B362" s="33" t="str">
        <f t="shared" si="13"/>
        <v xml:space="preserve"> </v>
      </c>
      <c r="C362" s="33" t="str">
        <f t="shared" si="12"/>
        <v xml:space="preserve"> </v>
      </c>
      <c r="D362" s="34" t="str">
        <f>IF(A362&lt;0,'CAR PROMAX FILIAL CRUZ'!B356," ")</f>
        <v xml:space="preserve"> </v>
      </c>
      <c r="E362" s="35" t="str">
        <f>IF(A362&lt;0,'CAR PROMAX FILIAL CRUZ'!C356," ")</f>
        <v xml:space="preserve"> </v>
      </c>
      <c r="F362" s="34" t="str">
        <f>IF(A362&lt;0,'CAR PROMAX FILIAL CRUZ'!D356," ")</f>
        <v xml:space="preserve"> </v>
      </c>
      <c r="G362" s="34" t="str">
        <f>IF(A362&lt;0,'CAR PROMAX FILIAL CRUZ'!E356," ")</f>
        <v xml:space="preserve"> </v>
      </c>
      <c r="H362" s="34" t="str">
        <f>IF(A362&lt;0,'CAR PROMAX FILIAL CRUZ'!J356," ")</f>
        <v xml:space="preserve"> </v>
      </c>
      <c r="I362" s="34"/>
      <c r="J362" s="34"/>
      <c r="K362" s="34" t="str">
        <f>IF(A362&lt;0,'CAR PROMAX FILIAL CRUZ'!O356," ")</f>
        <v xml:space="preserve"> </v>
      </c>
      <c r="L362" s="36" t="str">
        <f>IF(A362&lt;0,'CAR PROMAX FILIAL CRUZ'!P356," ")</f>
        <v xml:space="preserve"> </v>
      </c>
      <c r="M362" s="36" t="str">
        <f>IF(A362&lt;0,'CAR PROMAX FILIAL CRUZ'!Q356," ")</f>
        <v xml:space="preserve"> </v>
      </c>
      <c r="N362" s="36" t="str">
        <f>IF(A362&lt;0,'CAR PROMAX FILIAL CRUZ'!R356," ")</f>
        <v xml:space="preserve"> </v>
      </c>
      <c r="O362" s="37" t="str">
        <f>IF(A362&lt;0,'CAR PROMAX FILIAL CRUZ'!S356," ")</f>
        <v xml:space="preserve"> </v>
      </c>
      <c r="P362" s="37" t="str">
        <f>IF(A362&lt;0,'CAR PROMAX FILIAL CRUZ'!T356," ")</f>
        <v xml:space="preserve"> </v>
      </c>
      <c r="Q362" s="37" t="str">
        <f>IF(A362&lt;0,'CAR PROMAX FILIAL CRUZ'!U356," ")</f>
        <v xml:space="preserve"> </v>
      </c>
      <c r="R362" s="34" t="str">
        <f>IF(A362&lt;0,'CAR PROMAX FILIAL CRUZ'!V356," ")</f>
        <v xml:space="preserve"> </v>
      </c>
    </row>
    <row r="363" spans="1:18" x14ac:dyDescent="0.25">
      <c r="A363">
        <f>'CAR PROMAX FILIAL CRUZ'!O357</f>
        <v>0</v>
      </c>
      <c r="B363" s="33" t="str">
        <f t="shared" si="13"/>
        <v xml:space="preserve"> </v>
      </c>
      <c r="C363" s="33" t="str">
        <f t="shared" si="12"/>
        <v xml:space="preserve"> </v>
      </c>
      <c r="D363" s="34" t="str">
        <f>IF(A363&lt;0,'CAR PROMAX FILIAL CRUZ'!B357," ")</f>
        <v xml:space="preserve"> </v>
      </c>
      <c r="E363" s="35" t="str">
        <f>IF(A363&lt;0,'CAR PROMAX FILIAL CRUZ'!C357," ")</f>
        <v xml:space="preserve"> </v>
      </c>
      <c r="F363" s="34" t="str">
        <f>IF(A363&lt;0,'CAR PROMAX FILIAL CRUZ'!D357," ")</f>
        <v xml:space="preserve"> </v>
      </c>
      <c r="G363" s="34" t="str">
        <f>IF(A363&lt;0,'CAR PROMAX FILIAL CRUZ'!E357," ")</f>
        <v xml:space="preserve"> </v>
      </c>
      <c r="H363" s="34" t="str">
        <f>IF(A363&lt;0,'CAR PROMAX FILIAL CRUZ'!J357," ")</f>
        <v xml:space="preserve"> </v>
      </c>
      <c r="I363" s="34"/>
      <c r="J363" s="34"/>
      <c r="K363" s="34" t="str">
        <f>IF(A363&lt;0,'CAR PROMAX FILIAL CRUZ'!O357," ")</f>
        <v xml:space="preserve"> </v>
      </c>
      <c r="L363" s="36" t="str">
        <f>IF(A363&lt;0,'CAR PROMAX FILIAL CRUZ'!P357," ")</f>
        <v xml:space="preserve"> </v>
      </c>
      <c r="M363" s="36" t="str">
        <f>IF(A363&lt;0,'CAR PROMAX FILIAL CRUZ'!Q357," ")</f>
        <v xml:space="preserve"> </v>
      </c>
      <c r="N363" s="36" t="str">
        <f>IF(A363&lt;0,'CAR PROMAX FILIAL CRUZ'!R357," ")</f>
        <v xml:space="preserve"> </v>
      </c>
      <c r="O363" s="37" t="str">
        <f>IF(A363&lt;0,'CAR PROMAX FILIAL CRUZ'!S357," ")</f>
        <v xml:space="preserve"> </v>
      </c>
      <c r="P363" s="37" t="str">
        <f>IF(A363&lt;0,'CAR PROMAX FILIAL CRUZ'!T357," ")</f>
        <v xml:space="preserve"> </v>
      </c>
      <c r="Q363" s="37" t="str">
        <f>IF(A363&lt;0,'CAR PROMAX FILIAL CRUZ'!U357," ")</f>
        <v xml:space="preserve"> </v>
      </c>
      <c r="R363" s="34" t="str">
        <f>IF(A363&lt;0,'CAR PROMAX FILIAL CRUZ'!V357," ")</f>
        <v xml:space="preserve"> </v>
      </c>
    </row>
    <row r="364" spans="1:18" x14ac:dyDescent="0.25">
      <c r="A364">
        <f>'CAR PROMAX FILIAL CRUZ'!O358</f>
        <v>0</v>
      </c>
      <c r="B364" s="33" t="str">
        <f t="shared" si="13"/>
        <v xml:space="preserve"> </v>
      </c>
      <c r="C364" s="33" t="str">
        <f t="shared" si="12"/>
        <v xml:space="preserve"> </v>
      </c>
      <c r="D364" s="34" t="str">
        <f>IF(A364&lt;0,'CAR PROMAX FILIAL CRUZ'!B358," ")</f>
        <v xml:space="preserve"> </v>
      </c>
      <c r="E364" s="35" t="str">
        <f>IF(A364&lt;0,'CAR PROMAX FILIAL CRUZ'!C358," ")</f>
        <v xml:space="preserve"> </v>
      </c>
      <c r="F364" s="34" t="str">
        <f>IF(A364&lt;0,'CAR PROMAX FILIAL CRUZ'!D358," ")</f>
        <v xml:space="preserve"> </v>
      </c>
      <c r="G364" s="34" t="str">
        <f>IF(A364&lt;0,'CAR PROMAX FILIAL CRUZ'!E358," ")</f>
        <v xml:space="preserve"> </v>
      </c>
      <c r="H364" s="34" t="str">
        <f>IF(A364&lt;0,'CAR PROMAX FILIAL CRUZ'!J358," ")</f>
        <v xml:space="preserve"> </v>
      </c>
      <c r="I364" s="34"/>
      <c r="J364" s="34"/>
      <c r="K364" s="34" t="str">
        <f>IF(A364&lt;0,'CAR PROMAX FILIAL CRUZ'!O358," ")</f>
        <v xml:space="preserve"> </v>
      </c>
      <c r="L364" s="36" t="str">
        <f>IF(A364&lt;0,'CAR PROMAX FILIAL CRUZ'!P358," ")</f>
        <v xml:space="preserve"> </v>
      </c>
      <c r="M364" s="36" t="str">
        <f>IF(A364&lt;0,'CAR PROMAX FILIAL CRUZ'!Q358," ")</f>
        <v xml:space="preserve"> </v>
      </c>
      <c r="N364" s="36" t="str">
        <f>IF(A364&lt;0,'CAR PROMAX FILIAL CRUZ'!R358," ")</f>
        <v xml:space="preserve"> </v>
      </c>
      <c r="O364" s="37" t="str">
        <f>IF(A364&lt;0,'CAR PROMAX FILIAL CRUZ'!S358," ")</f>
        <v xml:space="preserve"> </v>
      </c>
      <c r="P364" s="37" t="str">
        <f>IF(A364&lt;0,'CAR PROMAX FILIAL CRUZ'!T358," ")</f>
        <v xml:space="preserve"> </v>
      </c>
      <c r="Q364" s="37" t="str">
        <f>IF(A364&lt;0,'CAR PROMAX FILIAL CRUZ'!U358," ")</f>
        <v xml:space="preserve"> </v>
      </c>
      <c r="R364" s="34" t="str">
        <f>IF(A364&lt;0,'CAR PROMAX FILIAL CRUZ'!V358," ")</f>
        <v xml:space="preserve"> </v>
      </c>
    </row>
    <row r="365" spans="1:18" x14ac:dyDescent="0.25">
      <c r="A365">
        <f>'CAR PROMAX FILIAL CRUZ'!O359</f>
        <v>0</v>
      </c>
      <c r="B365" s="33" t="str">
        <f t="shared" si="13"/>
        <v xml:space="preserve"> </v>
      </c>
      <c r="C365" s="33" t="str">
        <f t="shared" si="12"/>
        <v xml:space="preserve"> </v>
      </c>
      <c r="D365" s="34" t="str">
        <f>IF(A365&lt;0,'CAR PROMAX FILIAL CRUZ'!B359," ")</f>
        <v xml:space="preserve"> </v>
      </c>
      <c r="E365" s="35" t="str">
        <f>IF(A365&lt;0,'CAR PROMAX FILIAL CRUZ'!C359," ")</f>
        <v xml:space="preserve"> </v>
      </c>
      <c r="F365" s="34" t="str">
        <f>IF(A365&lt;0,'CAR PROMAX FILIAL CRUZ'!D359," ")</f>
        <v xml:space="preserve"> </v>
      </c>
      <c r="G365" s="34" t="str">
        <f>IF(A365&lt;0,'CAR PROMAX FILIAL CRUZ'!E359," ")</f>
        <v xml:space="preserve"> </v>
      </c>
      <c r="H365" s="34" t="str">
        <f>IF(A365&lt;0,'CAR PROMAX FILIAL CRUZ'!J359," ")</f>
        <v xml:space="preserve"> </v>
      </c>
      <c r="I365" s="34"/>
      <c r="J365" s="34"/>
      <c r="K365" s="34" t="str">
        <f>IF(A365&lt;0,'CAR PROMAX FILIAL CRUZ'!O359," ")</f>
        <v xml:space="preserve"> </v>
      </c>
      <c r="L365" s="36" t="str">
        <f>IF(A365&lt;0,'CAR PROMAX FILIAL CRUZ'!P359," ")</f>
        <v xml:space="preserve"> </v>
      </c>
      <c r="M365" s="36" t="str">
        <f>IF(A365&lt;0,'CAR PROMAX FILIAL CRUZ'!Q359," ")</f>
        <v xml:space="preserve"> </v>
      </c>
      <c r="N365" s="36" t="str">
        <f>IF(A365&lt;0,'CAR PROMAX FILIAL CRUZ'!R359," ")</f>
        <v xml:space="preserve"> </v>
      </c>
      <c r="O365" s="37" t="str">
        <f>IF(A365&lt;0,'CAR PROMAX FILIAL CRUZ'!S359," ")</f>
        <v xml:space="preserve"> </v>
      </c>
      <c r="P365" s="37" t="str">
        <f>IF(A365&lt;0,'CAR PROMAX FILIAL CRUZ'!T359," ")</f>
        <v xml:space="preserve"> </v>
      </c>
      <c r="Q365" s="37" t="str">
        <f>IF(A365&lt;0,'CAR PROMAX FILIAL CRUZ'!U359," ")</f>
        <v xml:space="preserve"> </v>
      </c>
      <c r="R365" s="34" t="str">
        <f>IF(A365&lt;0,'CAR PROMAX FILIAL CRUZ'!V359," ")</f>
        <v xml:space="preserve"> </v>
      </c>
    </row>
    <row r="366" spans="1:18" x14ac:dyDescent="0.25">
      <c r="A366">
        <f>'CAR PROMAX FILIAL CRUZ'!O360</f>
        <v>0</v>
      </c>
      <c r="B366" s="33" t="str">
        <f t="shared" si="13"/>
        <v xml:space="preserve"> </v>
      </c>
      <c r="C366" s="33" t="str">
        <f t="shared" si="12"/>
        <v xml:space="preserve"> </v>
      </c>
      <c r="D366" s="34" t="str">
        <f>IF(A366&lt;0,'CAR PROMAX FILIAL CRUZ'!B360," ")</f>
        <v xml:space="preserve"> </v>
      </c>
      <c r="E366" s="35" t="str">
        <f>IF(A366&lt;0,'CAR PROMAX FILIAL CRUZ'!C360," ")</f>
        <v xml:space="preserve"> </v>
      </c>
      <c r="F366" s="34" t="str">
        <f>IF(A366&lt;0,'CAR PROMAX FILIAL CRUZ'!D360," ")</f>
        <v xml:space="preserve"> </v>
      </c>
      <c r="G366" s="34" t="str">
        <f>IF(A366&lt;0,'CAR PROMAX FILIAL CRUZ'!E360," ")</f>
        <v xml:space="preserve"> </v>
      </c>
      <c r="H366" s="34" t="str">
        <f>IF(A366&lt;0,'CAR PROMAX FILIAL CRUZ'!J360," ")</f>
        <v xml:space="preserve"> </v>
      </c>
      <c r="I366" s="34"/>
      <c r="J366" s="34"/>
      <c r="K366" s="34" t="str">
        <f>IF(A366&lt;0,'CAR PROMAX FILIAL CRUZ'!O360," ")</f>
        <v xml:space="preserve"> </v>
      </c>
      <c r="L366" s="36" t="str">
        <f>IF(A366&lt;0,'CAR PROMAX FILIAL CRUZ'!P360," ")</f>
        <v xml:space="preserve"> </v>
      </c>
      <c r="M366" s="36" t="str">
        <f>IF(A366&lt;0,'CAR PROMAX FILIAL CRUZ'!Q360," ")</f>
        <v xml:space="preserve"> </v>
      </c>
      <c r="N366" s="36" t="str">
        <f>IF(A366&lt;0,'CAR PROMAX FILIAL CRUZ'!R360," ")</f>
        <v xml:space="preserve"> </v>
      </c>
      <c r="O366" s="37" t="str">
        <f>IF(A366&lt;0,'CAR PROMAX FILIAL CRUZ'!S360," ")</f>
        <v xml:space="preserve"> </v>
      </c>
      <c r="P366" s="37" t="str">
        <f>IF(A366&lt;0,'CAR PROMAX FILIAL CRUZ'!T360," ")</f>
        <v xml:space="preserve"> </v>
      </c>
      <c r="Q366" s="37" t="str">
        <f>IF(A366&lt;0,'CAR PROMAX FILIAL CRUZ'!U360," ")</f>
        <v xml:space="preserve"> </v>
      </c>
      <c r="R366" s="34" t="str">
        <f>IF(A366&lt;0,'CAR PROMAX FILIAL CRUZ'!V360," ")</f>
        <v xml:space="preserve"> </v>
      </c>
    </row>
    <row r="367" spans="1:18" x14ac:dyDescent="0.25">
      <c r="A367">
        <f>'CAR PROMAX FILIAL CRUZ'!O361</f>
        <v>0</v>
      </c>
      <c r="B367" s="33" t="str">
        <f t="shared" si="13"/>
        <v xml:space="preserve"> </v>
      </c>
      <c r="C367" s="33" t="str">
        <f t="shared" si="12"/>
        <v xml:space="preserve"> </v>
      </c>
      <c r="D367" s="34" t="str">
        <f>IF(A367&lt;0,'CAR PROMAX FILIAL CRUZ'!B361," ")</f>
        <v xml:space="preserve"> </v>
      </c>
      <c r="E367" s="35" t="str">
        <f>IF(A367&lt;0,'CAR PROMAX FILIAL CRUZ'!C361," ")</f>
        <v xml:space="preserve"> </v>
      </c>
      <c r="F367" s="34" t="str">
        <f>IF(A367&lt;0,'CAR PROMAX FILIAL CRUZ'!D361," ")</f>
        <v xml:space="preserve"> </v>
      </c>
      <c r="G367" s="34" t="str">
        <f>IF(A367&lt;0,'CAR PROMAX FILIAL CRUZ'!E361," ")</f>
        <v xml:space="preserve"> </v>
      </c>
      <c r="H367" s="34" t="str">
        <f>IF(A367&lt;0,'CAR PROMAX FILIAL CRUZ'!J361," ")</f>
        <v xml:space="preserve"> </v>
      </c>
      <c r="I367" s="34"/>
      <c r="J367" s="34"/>
      <c r="K367" s="34" t="str">
        <f>IF(A367&lt;0,'CAR PROMAX FILIAL CRUZ'!O361," ")</f>
        <v xml:space="preserve"> </v>
      </c>
      <c r="L367" s="36" t="str">
        <f>IF(A367&lt;0,'CAR PROMAX FILIAL CRUZ'!P361," ")</f>
        <v xml:space="preserve"> </v>
      </c>
      <c r="M367" s="36" t="str">
        <f>IF(A367&lt;0,'CAR PROMAX FILIAL CRUZ'!Q361," ")</f>
        <v xml:space="preserve"> </v>
      </c>
      <c r="N367" s="36" t="str">
        <f>IF(A367&lt;0,'CAR PROMAX FILIAL CRUZ'!R361," ")</f>
        <v xml:space="preserve"> </v>
      </c>
      <c r="O367" s="37" t="str">
        <f>IF(A367&lt;0,'CAR PROMAX FILIAL CRUZ'!S361," ")</f>
        <v xml:space="preserve"> </v>
      </c>
      <c r="P367" s="37" t="str">
        <f>IF(A367&lt;0,'CAR PROMAX FILIAL CRUZ'!T361," ")</f>
        <v xml:space="preserve"> </v>
      </c>
      <c r="Q367" s="37" t="str">
        <f>IF(A367&lt;0,'CAR PROMAX FILIAL CRUZ'!U361," ")</f>
        <v xml:space="preserve"> </v>
      </c>
      <c r="R367" s="34" t="str">
        <f>IF(A367&lt;0,'CAR PROMAX FILIAL CRUZ'!V361," ")</f>
        <v xml:space="preserve"> </v>
      </c>
    </row>
    <row r="368" spans="1:18" x14ac:dyDescent="0.25">
      <c r="A368">
        <f>'CAR PROMAX FILIAL CRUZ'!O362</f>
        <v>0</v>
      </c>
      <c r="B368" s="33" t="str">
        <f t="shared" si="13"/>
        <v xml:space="preserve"> </v>
      </c>
      <c r="C368" s="33" t="str">
        <f t="shared" si="12"/>
        <v xml:space="preserve"> </v>
      </c>
      <c r="D368" s="34" t="str">
        <f>IF(A368&lt;0,'CAR PROMAX FILIAL CRUZ'!B362," ")</f>
        <v xml:space="preserve"> </v>
      </c>
      <c r="E368" s="35" t="str">
        <f>IF(A368&lt;0,'CAR PROMAX FILIAL CRUZ'!C362," ")</f>
        <v xml:space="preserve"> </v>
      </c>
      <c r="F368" s="34" t="str">
        <f>IF(A368&lt;0,'CAR PROMAX FILIAL CRUZ'!D362," ")</f>
        <v xml:space="preserve"> </v>
      </c>
      <c r="G368" s="34" t="str">
        <f>IF(A368&lt;0,'CAR PROMAX FILIAL CRUZ'!E362," ")</f>
        <v xml:space="preserve"> </v>
      </c>
      <c r="H368" s="34" t="str">
        <f>IF(A368&lt;0,'CAR PROMAX FILIAL CRUZ'!J362," ")</f>
        <v xml:space="preserve"> </v>
      </c>
      <c r="I368" s="34"/>
      <c r="J368" s="34"/>
      <c r="K368" s="34" t="str">
        <f>IF(A368&lt;0,'CAR PROMAX FILIAL CRUZ'!O362," ")</f>
        <v xml:space="preserve"> </v>
      </c>
      <c r="L368" s="36" t="str">
        <f>IF(A368&lt;0,'CAR PROMAX FILIAL CRUZ'!P362," ")</f>
        <v xml:space="preserve"> </v>
      </c>
      <c r="M368" s="36" t="str">
        <f>IF(A368&lt;0,'CAR PROMAX FILIAL CRUZ'!Q362," ")</f>
        <v xml:space="preserve"> </v>
      </c>
      <c r="N368" s="36" t="str">
        <f>IF(A368&lt;0,'CAR PROMAX FILIAL CRUZ'!R362," ")</f>
        <v xml:space="preserve"> </v>
      </c>
      <c r="O368" s="37" t="str">
        <f>IF(A368&lt;0,'CAR PROMAX FILIAL CRUZ'!S362," ")</f>
        <v xml:space="preserve"> </v>
      </c>
      <c r="P368" s="37" t="str">
        <f>IF(A368&lt;0,'CAR PROMAX FILIAL CRUZ'!T362," ")</f>
        <v xml:space="preserve"> </v>
      </c>
      <c r="Q368" s="37" t="str">
        <f>IF(A368&lt;0,'CAR PROMAX FILIAL CRUZ'!U362," ")</f>
        <v xml:space="preserve"> </v>
      </c>
      <c r="R368" s="34" t="str">
        <f>IF(A368&lt;0,'CAR PROMAX FILIAL CRUZ'!V362," ")</f>
        <v xml:space="preserve"> </v>
      </c>
    </row>
    <row r="369" spans="1:18" x14ac:dyDescent="0.25">
      <c r="A369">
        <f>'CAR PROMAX FILIAL CRUZ'!O363</f>
        <v>0</v>
      </c>
      <c r="B369" s="33" t="str">
        <f t="shared" si="13"/>
        <v xml:space="preserve"> </v>
      </c>
      <c r="C369" s="33" t="str">
        <f t="shared" si="12"/>
        <v xml:space="preserve"> </v>
      </c>
      <c r="D369" s="34" t="str">
        <f>IF(A369&lt;0,'CAR PROMAX FILIAL CRUZ'!B363," ")</f>
        <v xml:space="preserve"> </v>
      </c>
      <c r="E369" s="35" t="str">
        <f>IF(A369&lt;0,'CAR PROMAX FILIAL CRUZ'!C363," ")</f>
        <v xml:space="preserve"> </v>
      </c>
      <c r="F369" s="34" t="str">
        <f>IF(A369&lt;0,'CAR PROMAX FILIAL CRUZ'!D363," ")</f>
        <v xml:space="preserve"> </v>
      </c>
      <c r="G369" s="34" t="str">
        <f>IF(A369&lt;0,'CAR PROMAX FILIAL CRUZ'!E363," ")</f>
        <v xml:space="preserve"> </v>
      </c>
      <c r="H369" s="34" t="str">
        <f>IF(A369&lt;0,'CAR PROMAX FILIAL CRUZ'!J363," ")</f>
        <v xml:space="preserve"> </v>
      </c>
      <c r="I369" s="34"/>
      <c r="J369" s="34"/>
      <c r="K369" s="34" t="str">
        <f>IF(A369&lt;0,'CAR PROMAX FILIAL CRUZ'!O363," ")</f>
        <v xml:space="preserve"> </v>
      </c>
      <c r="L369" s="36" t="str">
        <f>IF(A369&lt;0,'CAR PROMAX FILIAL CRUZ'!P363," ")</f>
        <v xml:space="preserve"> </v>
      </c>
      <c r="M369" s="36" t="str">
        <f>IF(A369&lt;0,'CAR PROMAX FILIAL CRUZ'!Q363," ")</f>
        <v xml:space="preserve"> </v>
      </c>
      <c r="N369" s="36" t="str">
        <f>IF(A369&lt;0,'CAR PROMAX FILIAL CRUZ'!R363," ")</f>
        <v xml:space="preserve"> </v>
      </c>
      <c r="O369" s="37" t="str">
        <f>IF(A369&lt;0,'CAR PROMAX FILIAL CRUZ'!S363," ")</f>
        <v xml:space="preserve"> </v>
      </c>
      <c r="P369" s="37" t="str">
        <f>IF(A369&lt;0,'CAR PROMAX FILIAL CRUZ'!T363," ")</f>
        <v xml:space="preserve"> </v>
      </c>
      <c r="Q369" s="37" t="str">
        <f>IF(A369&lt;0,'CAR PROMAX FILIAL CRUZ'!U363," ")</f>
        <v xml:space="preserve"> </v>
      </c>
      <c r="R369" s="34" t="str">
        <f>IF(A369&lt;0,'CAR PROMAX FILIAL CRUZ'!V363," ")</f>
        <v xml:space="preserve"> </v>
      </c>
    </row>
    <row r="370" spans="1:18" x14ac:dyDescent="0.25">
      <c r="A370">
        <f>'CAR PROMAX FILIAL CRUZ'!O364</f>
        <v>0</v>
      </c>
      <c r="B370" s="33" t="str">
        <f t="shared" si="13"/>
        <v xml:space="preserve"> </v>
      </c>
      <c r="C370" s="33" t="str">
        <f t="shared" si="12"/>
        <v xml:space="preserve"> </v>
      </c>
      <c r="D370" s="34" t="str">
        <f>IF(A370&lt;0,'CAR PROMAX FILIAL CRUZ'!B364," ")</f>
        <v xml:space="preserve"> </v>
      </c>
      <c r="E370" s="35" t="str">
        <f>IF(A370&lt;0,'CAR PROMAX FILIAL CRUZ'!C364," ")</f>
        <v xml:space="preserve"> </v>
      </c>
      <c r="F370" s="34" t="str">
        <f>IF(A370&lt;0,'CAR PROMAX FILIAL CRUZ'!D364," ")</f>
        <v xml:space="preserve"> </v>
      </c>
      <c r="G370" s="34" t="str">
        <f>IF(A370&lt;0,'CAR PROMAX FILIAL CRUZ'!E364," ")</f>
        <v xml:space="preserve"> </v>
      </c>
      <c r="H370" s="34" t="str">
        <f>IF(A370&lt;0,'CAR PROMAX FILIAL CRUZ'!J364," ")</f>
        <v xml:space="preserve"> </v>
      </c>
      <c r="I370" s="34"/>
      <c r="J370" s="34"/>
      <c r="K370" s="34" t="str">
        <f>IF(A370&lt;0,'CAR PROMAX FILIAL CRUZ'!O364," ")</f>
        <v xml:space="preserve"> </v>
      </c>
      <c r="L370" s="36" t="str">
        <f>IF(A370&lt;0,'CAR PROMAX FILIAL CRUZ'!P364," ")</f>
        <v xml:space="preserve"> </v>
      </c>
      <c r="M370" s="36" t="str">
        <f>IF(A370&lt;0,'CAR PROMAX FILIAL CRUZ'!Q364," ")</f>
        <v xml:space="preserve"> </v>
      </c>
      <c r="N370" s="36" t="str">
        <f>IF(A370&lt;0,'CAR PROMAX FILIAL CRUZ'!R364," ")</f>
        <v xml:space="preserve"> </v>
      </c>
      <c r="O370" s="37" t="str">
        <f>IF(A370&lt;0,'CAR PROMAX FILIAL CRUZ'!S364," ")</f>
        <v xml:space="preserve"> </v>
      </c>
      <c r="P370" s="37" t="str">
        <f>IF(A370&lt;0,'CAR PROMAX FILIAL CRUZ'!T364," ")</f>
        <v xml:space="preserve"> </v>
      </c>
      <c r="Q370" s="37" t="str">
        <f>IF(A370&lt;0,'CAR PROMAX FILIAL CRUZ'!U364," ")</f>
        <v xml:space="preserve"> </v>
      </c>
      <c r="R370" s="34" t="str">
        <f>IF(A370&lt;0,'CAR PROMAX FILIAL CRUZ'!V364," ")</f>
        <v xml:space="preserve"> </v>
      </c>
    </row>
    <row r="371" spans="1:18" x14ac:dyDescent="0.25">
      <c r="A371">
        <f>'CAR PROMAX FILIAL CRUZ'!O365</f>
        <v>0</v>
      </c>
      <c r="B371" s="33" t="str">
        <f t="shared" si="13"/>
        <v xml:space="preserve"> </v>
      </c>
      <c r="C371" s="33" t="str">
        <f t="shared" si="12"/>
        <v xml:space="preserve"> </v>
      </c>
      <c r="D371" s="34" t="str">
        <f>IF(A371&lt;0,'CAR PROMAX FILIAL CRUZ'!B365," ")</f>
        <v xml:space="preserve"> </v>
      </c>
      <c r="E371" s="35" t="str">
        <f>IF(A371&lt;0,'CAR PROMAX FILIAL CRUZ'!C365," ")</f>
        <v xml:space="preserve"> </v>
      </c>
      <c r="F371" s="34" t="str">
        <f>IF(A371&lt;0,'CAR PROMAX FILIAL CRUZ'!D365," ")</f>
        <v xml:space="preserve"> </v>
      </c>
      <c r="G371" s="34" t="str">
        <f>IF(A371&lt;0,'CAR PROMAX FILIAL CRUZ'!E365," ")</f>
        <v xml:space="preserve"> </v>
      </c>
      <c r="H371" s="34" t="str">
        <f>IF(A371&lt;0,'CAR PROMAX FILIAL CRUZ'!J365," ")</f>
        <v xml:space="preserve"> </v>
      </c>
      <c r="I371" s="34"/>
      <c r="J371" s="34"/>
      <c r="K371" s="34" t="str">
        <f>IF(A371&lt;0,'CAR PROMAX FILIAL CRUZ'!O365," ")</f>
        <v xml:space="preserve"> </v>
      </c>
      <c r="L371" s="36" t="str">
        <f>IF(A371&lt;0,'CAR PROMAX FILIAL CRUZ'!P365," ")</f>
        <v xml:space="preserve"> </v>
      </c>
      <c r="M371" s="36" t="str">
        <f>IF(A371&lt;0,'CAR PROMAX FILIAL CRUZ'!Q365," ")</f>
        <v xml:space="preserve"> </v>
      </c>
      <c r="N371" s="36" t="str">
        <f>IF(A371&lt;0,'CAR PROMAX FILIAL CRUZ'!R365," ")</f>
        <v xml:space="preserve"> </v>
      </c>
      <c r="O371" s="37" t="str">
        <f>IF(A371&lt;0,'CAR PROMAX FILIAL CRUZ'!S365," ")</f>
        <v xml:space="preserve"> </v>
      </c>
      <c r="P371" s="37" t="str">
        <f>IF(A371&lt;0,'CAR PROMAX FILIAL CRUZ'!T365," ")</f>
        <v xml:space="preserve"> </v>
      </c>
      <c r="Q371" s="37" t="str">
        <f>IF(A371&lt;0,'CAR PROMAX FILIAL CRUZ'!U365," ")</f>
        <v xml:space="preserve"> </v>
      </c>
      <c r="R371" s="34" t="str">
        <f>IF(A371&lt;0,'CAR PROMAX FILIAL CRUZ'!V365," ")</f>
        <v xml:space="preserve"> </v>
      </c>
    </row>
    <row r="372" spans="1:18" x14ac:dyDescent="0.25">
      <c r="A372">
        <f>'CAR PROMAX FILIAL CRUZ'!O366</f>
        <v>0</v>
      </c>
      <c r="B372" s="33" t="str">
        <f t="shared" si="13"/>
        <v xml:space="preserve"> </v>
      </c>
      <c r="C372" s="33" t="str">
        <f t="shared" si="12"/>
        <v xml:space="preserve"> </v>
      </c>
      <c r="D372" s="34" t="str">
        <f>IF(A372&lt;0,'CAR PROMAX FILIAL CRUZ'!B366," ")</f>
        <v xml:space="preserve"> </v>
      </c>
      <c r="E372" s="35" t="str">
        <f>IF(A372&lt;0,'CAR PROMAX FILIAL CRUZ'!C366," ")</f>
        <v xml:space="preserve"> </v>
      </c>
      <c r="F372" s="34" t="str">
        <f>IF(A372&lt;0,'CAR PROMAX FILIAL CRUZ'!D366," ")</f>
        <v xml:space="preserve"> </v>
      </c>
      <c r="G372" s="34" t="str">
        <f>IF(A372&lt;0,'CAR PROMAX FILIAL CRUZ'!E366," ")</f>
        <v xml:space="preserve"> </v>
      </c>
      <c r="H372" s="34" t="str">
        <f>IF(A372&lt;0,'CAR PROMAX FILIAL CRUZ'!J366," ")</f>
        <v xml:space="preserve"> </v>
      </c>
      <c r="I372" s="34"/>
      <c r="J372" s="34"/>
      <c r="K372" s="34" t="str">
        <f>IF(A372&lt;0,'CAR PROMAX FILIAL CRUZ'!O366," ")</f>
        <v xml:space="preserve"> </v>
      </c>
      <c r="L372" s="36" t="str">
        <f>IF(A372&lt;0,'CAR PROMAX FILIAL CRUZ'!P366," ")</f>
        <v xml:space="preserve"> </v>
      </c>
      <c r="M372" s="36" t="str">
        <f>IF(A372&lt;0,'CAR PROMAX FILIAL CRUZ'!Q366," ")</f>
        <v xml:space="preserve"> </v>
      </c>
      <c r="N372" s="36" t="str">
        <f>IF(A372&lt;0,'CAR PROMAX FILIAL CRUZ'!R366," ")</f>
        <v xml:space="preserve"> </v>
      </c>
      <c r="O372" s="37" t="str">
        <f>IF(A372&lt;0,'CAR PROMAX FILIAL CRUZ'!S366," ")</f>
        <v xml:space="preserve"> </v>
      </c>
      <c r="P372" s="37" t="str">
        <f>IF(A372&lt;0,'CAR PROMAX FILIAL CRUZ'!T366," ")</f>
        <v xml:space="preserve"> </v>
      </c>
      <c r="Q372" s="37" t="str">
        <f>IF(A372&lt;0,'CAR PROMAX FILIAL CRUZ'!U366," ")</f>
        <v xml:space="preserve"> </v>
      </c>
      <c r="R372" s="34" t="str">
        <f>IF(A372&lt;0,'CAR PROMAX FILIAL CRUZ'!V366," ")</f>
        <v xml:space="preserve"> </v>
      </c>
    </row>
    <row r="373" spans="1:18" x14ac:dyDescent="0.25">
      <c r="A373">
        <f>'CAR PROMAX FILIAL CRUZ'!O367</f>
        <v>0</v>
      </c>
      <c r="B373" s="33" t="str">
        <f t="shared" si="13"/>
        <v xml:space="preserve"> </v>
      </c>
      <c r="C373" s="33" t="str">
        <f t="shared" si="12"/>
        <v xml:space="preserve"> </v>
      </c>
      <c r="D373" s="34" t="str">
        <f>IF(A373&lt;0,'CAR PROMAX FILIAL CRUZ'!B367," ")</f>
        <v xml:space="preserve"> </v>
      </c>
      <c r="E373" s="35" t="str">
        <f>IF(A373&lt;0,'CAR PROMAX FILIAL CRUZ'!C367," ")</f>
        <v xml:space="preserve"> </v>
      </c>
      <c r="F373" s="34" t="str">
        <f>IF(A373&lt;0,'CAR PROMAX FILIAL CRUZ'!D367," ")</f>
        <v xml:space="preserve"> </v>
      </c>
      <c r="G373" s="34" t="str">
        <f>IF(A373&lt;0,'CAR PROMAX FILIAL CRUZ'!E367," ")</f>
        <v xml:space="preserve"> </v>
      </c>
      <c r="H373" s="34" t="str">
        <f>IF(A373&lt;0,'CAR PROMAX FILIAL CRUZ'!J367," ")</f>
        <v xml:space="preserve"> </v>
      </c>
      <c r="I373" s="34"/>
      <c r="J373" s="34"/>
      <c r="K373" s="34" t="str">
        <f>IF(A373&lt;0,'CAR PROMAX FILIAL CRUZ'!O367," ")</f>
        <v xml:space="preserve"> </v>
      </c>
      <c r="L373" s="36" t="str">
        <f>IF(A373&lt;0,'CAR PROMAX FILIAL CRUZ'!P367," ")</f>
        <v xml:space="preserve"> </v>
      </c>
      <c r="M373" s="36" t="str">
        <f>IF(A373&lt;0,'CAR PROMAX FILIAL CRUZ'!Q367," ")</f>
        <v xml:space="preserve"> </v>
      </c>
      <c r="N373" s="36" t="str">
        <f>IF(A373&lt;0,'CAR PROMAX FILIAL CRUZ'!R367," ")</f>
        <v xml:space="preserve"> </v>
      </c>
      <c r="O373" s="37" t="str">
        <f>IF(A373&lt;0,'CAR PROMAX FILIAL CRUZ'!S367," ")</f>
        <v xml:space="preserve"> </v>
      </c>
      <c r="P373" s="37" t="str">
        <f>IF(A373&lt;0,'CAR PROMAX FILIAL CRUZ'!T367," ")</f>
        <v xml:space="preserve"> </v>
      </c>
      <c r="Q373" s="37" t="str">
        <f>IF(A373&lt;0,'CAR PROMAX FILIAL CRUZ'!U367," ")</f>
        <v xml:space="preserve"> </v>
      </c>
      <c r="R373" s="34" t="str">
        <f>IF(A373&lt;0,'CAR PROMAX FILIAL CRUZ'!V367," ")</f>
        <v xml:space="preserve"> </v>
      </c>
    </row>
    <row r="374" spans="1:18" x14ac:dyDescent="0.25">
      <c r="A374">
        <f>'CAR PROMAX FILIAL CRUZ'!O368</f>
        <v>0</v>
      </c>
      <c r="B374" s="33" t="str">
        <f t="shared" si="13"/>
        <v xml:space="preserve"> </v>
      </c>
      <c r="C374" s="33" t="str">
        <f t="shared" si="12"/>
        <v xml:space="preserve"> </v>
      </c>
      <c r="D374" s="34" t="str">
        <f>IF(A374&lt;0,'CAR PROMAX FILIAL CRUZ'!B368," ")</f>
        <v xml:space="preserve"> </v>
      </c>
      <c r="E374" s="35" t="str">
        <f>IF(A374&lt;0,'CAR PROMAX FILIAL CRUZ'!C368," ")</f>
        <v xml:space="preserve"> </v>
      </c>
      <c r="F374" s="34" t="str">
        <f>IF(A374&lt;0,'CAR PROMAX FILIAL CRUZ'!D368," ")</f>
        <v xml:space="preserve"> </v>
      </c>
      <c r="G374" s="34" t="str">
        <f>IF(A374&lt;0,'CAR PROMAX FILIAL CRUZ'!E368," ")</f>
        <v xml:space="preserve"> </v>
      </c>
      <c r="H374" s="34" t="str">
        <f>IF(A374&lt;0,'CAR PROMAX FILIAL CRUZ'!J368," ")</f>
        <v xml:space="preserve"> </v>
      </c>
      <c r="I374" s="34"/>
      <c r="J374" s="34"/>
      <c r="K374" s="34" t="str">
        <f>IF(A374&lt;0,'CAR PROMAX FILIAL CRUZ'!O368," ")</f>
        <v xml:space="preserve"> </v>
      </c>
      <c r="L374" s="36" t="str">
        <f>IF(A374&lt;0,'CAR PROMAX FILIAL CRUZ'!P368," ")</f>
        <v xml:space="preserve"> </v>
      </c>
      <c r="M374" s="36" t="str">
        <f>IF(A374&lt;0,'CAR PROMAX FILIAL CRUZ'!Q368," ")</f>
        <v xml:space="preserve"> </v>
      </c>
      <c r="N374" s="36" t="str">
        <f>IF(A374&lt;0,'CAR PROMAX FILIAL CRUZ'!R368," ")</f>
        <v xml:space="preserve"> </v>
      </c>
      <c r="O374" s="37" t="str">
        <f>IF(A374&lt;0,'CAR PROMAX FILIAL CRUZ'!S368," ")</f>
        <v xml:space="preserve"> </v>
      </c>
      <c r="P374" s="37" t="str">
        <f>IF(A374&lt;0,'CAR PROMAX FILIAL CRUZ'!T368," ")</f>
        <v xml:space="preserve"> </v>
      </c>
      <c r="Q374" s="37" t="str">
        <f>IF(A374&lt;0,'CAR PROMAX FILIAL CRUZ'!U368," ")</f>
        <v xml:space="preserve"> </v>
      </c>
      <c r="R374" s="34" t="str">
        <f>IF(A374&lt;0,'CAR PROMAX FILIAL CRUZ'!V368," ")</f>
        <v xml:space="preserve"> </v>
      </c>
    </row>
    <row r="375" spans="1:18" x14ac:dyDescent="0.25">
      <c r="A375">
        <f>'CAR PROMAX FILIAL CRUZ'!O369</f>
        <v>0</v>
      </c>
      <c r="B375" s="33" t="str">
        <f t="shared" si="13"/>
        <v xml:space="preserve"> </v>
      </c>
      <c r="C375" s="33" t="str">
        <f t="shared" si="12"/>
        <v xml:space="preserve"> </v>
      </c>
      <c r="D375" s="34" t="str">
        <f>IF(A375&lt;0,'CAR PROMAX FILIAL CRUZ'!B369," ")</f>
        <v xml:space="preserve"> </v>
      </c>
      <c r="E375" s="35" t="str">
        <f>IF(A375&lt;0,'CAR PROMAX FILIAL CRUZ'!C369," ")</f>
        <v xml:space="preserve"> </v>
      </c>
      <c r="F375" s="34" t="str">
        <f>IF(A375&lt;0,'CAR PROMAX FILIAL CRUZ'!D369," ")</f>
        <v xml:space="preserve"> </v>
      </c>
      <c r="G375" s="34" t="str">
        <f>IF(A375&lt;0,'CAR PROMAX FILIAL CRUZ'!E369," ")</f>
        <v xml:space="preserve"> </v>
      </c>
      <c r="H375" s="34" t="str">
        <f>IF(A375&lt;0,'CAR PROMAX FILIAL CRUZ'!J369," ")</f>
        <v xml:space="preserve"> </v>
      </c>
      <c r="I375" s="34"/>
      <c r="J375" s="34"/>
      <c r="K375" s="34" t="str">
        <f>IF(A375&lt;0,'CAR PROMAX FILIAL CRUZ'!O369," ")</f>
        <v xml:space="preserve"> </v>
      </c>
      <c r="L375" s="36" t="str">
        <f>IF(A375&lt;0,'CAR PROMAX FILIAL CRUZ'!P369," ")</f>
        <v xml:space="preserve"> </v>
      </c>
      <c r="M375" s="36" t="str">
        <f>IF(A375&lt;0,'CAR PROMAX FILIAL CRUZ'!Q369," ")</f>
        <v xml:space="preserve"> </v>
      </c>
      <c r="N375" s="36" t="str">
        <f>IF(A375&lt;0,'CAR PROMAX FILIAL CRUZ'!R369," ")</f>
        <v xml:space="preserve"> </v>
      </c>
      <c r="O375" s="37" t="str">
        <f>IF(A375&lt;0,'CAR PROMAX FILIAL CRUZ'!S369," ")</f>
        <v xml:space="preserve"> </v>
      </c>
      <c r="P375" s="37" t="str">
        <f>IF(A375&lt;0,'CAR PROMAX FILIAL CRUZ'!T369," ")</f>
        <v xml:space="preserve"> </v>
      </c>
      <c r="Q375" s="37" t="str">
        <f>IF(A375&lt;0,'CAR PROMAX FILIAL CRUZ'!U369," ")</f>
        <v xml:space="preserve"> </v>
      </c>
      <c r="R375" s="34" t="str">
        <f>IF(A375&lt;0,'CAR PROMAX FILIAL CRUZ'!V369," ")</f>
        <v xml:space="preserve"> </v>
      </c>
    </row>
    <row r="376" spans="1:18" x14ac:dyDescent="0.25">
      <c r="A376">
        <f>'CAR PROMAX FILIAL CRUZ'!O370</f>
        <v>0</v>
      </c>
      <c r="B376" s="33" t="str">
        <f t="shared" si="13"/>
        <v xml:space="preserve"> </v>
      </c>
      <c r="C376" s="33" t="str">
        <f t="shared" si="12"/>
        <v xml:space="preserve"> </v>
      </c>
      <c r="D376" s="34" t="str">
        <f>IF(A376&lt;0,'CAR PROMAX FILIAL CRUZ'!B370," ")</f>
        <v xml:space="preserve"> </v>
      </c>
      <c r="E376" s="35" t="str">
        <f>IF(A376&lt;0,'CAR PROMAX FILIAL CRUZ'!C370," ")</f>
        <v xml:space="preserve"> </v>
      </c>
      <c r="F376" s="34" t="str">
        <f>IF(A376&lt;0,'CAR PROMAX FILIAL CRUZ'!D370," ")</f>
        <v xml:space="preserve"> </v>
      </c>
      <c r="G376" s="34" t="str">
        <f>IF(A376&lt;0,'CAR PROMAX FILIAL CRUZ'!E370," ")</f>
        <v xml:space="preserve"> </v>
      </c>
      <c r="H376" s="34" t="str">
        <f>IF(A376&lt;0,'CAR PROMAX FILIAL CRUZ'!J370," ")</f>
        <v xml:space="preserve"> </v>
      </c>
      <c r="I376" s="34"/>
      <c r="J376" s="34"/>
      <c r="K376" s="34" t="str">
        <f>IF(A376&lt;0,'CAR PROMAX FILIAL CRUZ'!O370," ")</f>
        <v xml:space="preserve"> </v>
      </c>
      <c r="L376" s="36" t="str">
        <f>IF(A376&lt;0,'CAR PROMAX FILIAL CRUZ'!P370," ")</f>
        <v xml:space="preserve"> </v>
      </c>
      <c r="M376" s="36" t="str">
        <f>IF(A376&lt;0,'CAR PROMAX FILIAL CRUZ'!Q370," ")</f>
        <v xml:space="preserve"> </v>
      </c>
      <c r="N376" s="36" t="str">
        <f>IF(A376&lt;0,'CAR PROMAX FILIAL CRUZ'!R370," ")</f>
        <v xml:space="preserve"> </v>
      </c>
      <c r="O376" s="37" t="str">
        <f>IF(A376&lt;0,'CAR PROMAX FILIAL CRUZ'!S370," ")</f>
        <v xml:space="preserve"> </v>
      </c>
      <c r="P376" s="37" t="str">
        <f>IF(A376&lt;0,'CAR PROMAX FILIAL CRUZ'!T370," ")</f>
        <v xml:space="preserve"> </v>
      </c>
      <c r="Q376" s="37" t="str">
        <f>IF(A376&lt;0,'CAR PROMAX FILIAL CRUZ'!U370," ")</f>
        <v xml:space="preserve"> </v>
      </c>
      <c r="R376" s="34" t="str">
        <f>IF(A376&lt;0,'CAR PROMAX FILIAL CRUZ'!V370," ")</f>
        <v xml:space="preserve"> </v>
      </c>
    </row>
    <row r="377" spans="1:18" x14ac:dyDescent="0.25">
      <c r="A377">
        <f>'CAR PROMAX FILIAL CRUZ'!O371</f>
        <v>0</v>
      </c>
      <c r="B377" s="33" t="str">
        <f t="shared" si="13"/>
        <v xml:space="preserve"> </v>
      </c>
      <c r="C377" s="33" t="str">
        <f t="shared" si="12"/>
        <v xml:space="preserve"> </v>
      </c>
      <c r="D377" s="34" t="str">
        <f>IF(A377&lt;0,'CAR PROMAX FILIAL CRUZ'!B371," ")</f>
        <v xml:space="preserve"> </v>
      </c>
      <c r="E377" s="35" t="str">
        <f>IF(A377&lt;0,'CAR PROMAX FILIAL CRUZ'!C371," ")</f>
        <v xml:space="preserve"> </v>
      </c>
      <c r="F377" s="34" t="str">
        <f>IF(A377&lt;0,'CAR PROMAX FILIAL CRUZ'!D371," ")</f>
        <v xml:space="preserve"> </v>
      </c>
      <c r="G377" s="34" t="str">
        <f>IF(A377&lt;0,'CAR PROMAX FILIAL CRUZ'!E371," ")</f>
        <v xml:space="preserve"> </v>
      </c>
      <c r="H377" s="34" t="str">
        <f>IF(A377&lt;0,'CAR PROMAX FILIAL CRUZ'!J371," ")</f>
        <v xml:space="preserve"> </v>
      </c>
      <c r="I377" s="34"/>
      <c r="J377" s="34"/>
      <c r="K377" s="34" t="str">
        <f>IF(A377&lt;0,'CAR PROMAX FILIAL CRUZ'!O371," ")</f>
        <v xml:space="preserve"> </v>
      </c>
      <c r="L377" s="36" t="str">
        <f>IF(A377&lt;0,'CAR PROMAX FILIAL CRUZ'!P371," ")</f>
        <v xml:space="preserve"> </v>
      </c>
      <c r="M377" s="36" t="str">
        <f>IF(A377&lt;0,'CAR PROMAX FILIAL CRUZ'!Q371," ")</f>
        <v xml:space="preserve"> </v>
      </c>
      <c r="N377" s="36" t="str">
        <f>IF(A377&lt;0,'CAR PROMAX FILIAL CRUZ'!R371," ")</f>
        <v xml:space="preserve"> </v>
      </c>
      <c r="O377" s="37" t="str">
        <f>IF(A377&lt;0,'CAR PROMAX FILIAL CRUZ'!S371," ")</f>
        <v xml:space="preserve"> </v>
      </c>
      <c r="P377" s="37" t="str">
        <f>IF(A377&lt;0,'CAR PROMAX FILIAL CRUZ'!T371," ")</f>
        <v xml:space="preserve"> </v>
      </c>
      <c r="Q377" s="37" t="str">
        <f>IF(A377&lt;0,'CAR PROMAX FILIAL CRUZ'!U371," ")</f>
        <v xml:space="preserve"> </v>
      </c>
      <c r="R377" s="34" t="str">
        <f>IF(A377&lt;0,'CAR PROMAX FILIAL CRUZ'!V371," ")</f>
        <v xml:space="preserve"> </v>
      </c>
    </row>
    <row r="378" spans="1:18" x14ac:dyDescent="0.25">
      <c r="A378">
        <f>'CAR PROMAX FILIAL CRUZ'!O372</f>
        <v>0</v>
      </c>
      <c r="B378" s="33" t="str">
        <f t="shared" si="13"/>
        <v xml:space="preserve"> </v>
      </c>
      <c r="C378" s="33" t="str">
        <f t="shared" si="12"/>
        <v xml:space="preserve"> </v>
      </c>
      <c r="D378" s="34" t="str">
        <f>IF(A378&lt;0,'CAR PROMAX FILIAL CRUZ'!B372," ")</f>
        <v xml:space="preserve"> </v>
      </c>
      <c r="E378" s="35" t="str">
        <f>IF(A378&lt;0,'CAR PROMAX FILIAL CRUZ'!C372," ")</f>
        <v xml:space="preserve"> </v>
      </c>
      <c r="F378" s="34" t="str">
        <f>IF(A378&lt;0,'CAR PROMAX FILIAL CRUZ'!D372," ")</f>
        <v xml:space="preserve"> </v>
      </c>
      <c r="G378" s="34" t="str">
        <f>IF(A378&lt;0,'CAR PROMAX FILIAL CRUZ'!E372," ")</f>
        <v xml:space="preserve"> </v>
      </c>
      <c r="H378" s="34" t="str">
        <f>IF(A378&lt;0,'CAR PROMAX FILIAL CRUZ'!J372," ")</f>
        <v xml:space="preserve"> </v>
      </c>
      <c r="I378" s="34"/>
      <c r="J378" s="34"/>
      <c r="K378" s="34" t="str">
        <f>IF(A378&lt;0,'CAR PROMAX FILIAL CRUZ'!O372," ")</f>
        <v xml:space="preserve"> </v>
      </c>
      <c r="L378" s="36" t="str">
        <f>IF(A378&lt;0,'CAR PROMAX FILIAL CRUZ'!P372," ")</f>
        <v xml:space="preserve"> </v>
      </c>
      <c r="M378" s="36" t="str">
        <f>IF(A378&lt;0,'CAR PROMAX FILIAL CRUZ'!Q372," ")</f>
        <v xml:space="preserve"> </v>
      </c>
      <c r="N378" s="36" t="str">
        <f>IF(A378&lt;0,'CAR PROMAX FILIAL CRUZ'!R372," ")</f>
        <v xml:space="preserve"> </v>
      </c>
      <c r="O378" s="37" t="str">
        <f>IF(A378&lt;0,'CAR PROMAX FILIAL CRUZ'!S372," ")</f>
        <v xml:space="preserve"> </v>
      </c>
      <c r="P378" s="37" t="str">
        <f>IF(A378&lt;0,'CAR PROMAX FILIAL CRUZ'!T372," ")</f>
        <v xml:space="preserve"> </v>
      </c>
      <c r="Q378" s="37" t="str">
        <f>IF(A378&lt;0,'CAR PROMAX FILIAL CRUZ'!U372," ")</f>
        <v xml:space="preserve"> </v>
      </c>
      <c r="R378" s="34" t="str">
        <f>IF(A378&lt;0,'CAR PROMAX FILIAL CRUZ'!V372," ")</f>
        <v xml:space="preserve"> </v>
      </c>
    </row>
    <row r="379" spans="1:18" x14ac:dyDescent="0.25">
      <c r="A379">
        <f>'CAR PROMAX FILIAL CRUZ'!O373</f>
        <v>0</v>
      </c>
      <c r="B379" s="33" t="str">
        <f t="shared" si="13"/>
        <v xml:space="preserve"> </v>
      </c>
      <c r="C379" s="33" t="str">
        <f t="shared" si="12"/>
        <v xml:space="preserve"> </v>
      </c>
      <c r="D379" s="34" t="str">
        <f>IF(A379&lt;0,'CAR PROMAX FILIAL CRUZ'!B373," ")</f>
        <v xml:space="preserve"> </v>
      </c>
      <c r="E379" s="35" t="str">
        <f>IF(A379&lt;0,'CAR PROMAX FILIAL CRUZ'!C373," ")</f>
        <v xml:space="preserve"> </v>
      </c>
      <c r="F379" s="34" t="str">
        <f>IF(A379&lt;0,'CAR PROMAX FILIAL CRUZ'!D373," ")</f>
        <v xml:space="preserve"> </v>
      </c>
      <c r="G379" s="34" t="str">
        <f>IF(A379&lt;0,'CAR PROMAX FILIAL CRUZ'!E373," ")</f>
        <v xml:space="preserve"> </v>
      </c>
      <c r="H379" s="34" t="str">
        <f>IF(A379&lt;0,'CAR PROMAX FILIAL CRUZ'!J373," ")</f>
        <v xml:space="preserve"> </v>
      </c>
      <c r="I379" s="34"/>
      <c r="J379" s="34"/>
      <c r="K379" s="34" t="str">
        <f>IF(A379&lt;0,'CAR PROMAX FILIAL CRUZ'!O373," ")</f>
        <v xml:space="preserve"> </v>
      </c>
      <c r="L379" s="36" t="str">
        <f>IF(A379&lt;0,'CAR PROMAX FILIAL CRUZ'!P373," ")</f>
        <v xml:space="preserve"> </v>
      </c>
      <c r="M379" s="36" t="str">
        <f>IF(A379&lt;0,'CAR PROMAX FILIAL CRUZ'!Q373," ")</f>
        <v xml:space="preserve"> </v>
      </c>
      <c r="N379" s="36" t="str">
        <f>IF(A379&lt;0,'CAR PROMAX FILIAL CRUZ'!R373," ")</f>
        <v xml:space="preserve"> </v>
      </c>
      <c r="O379" s="37" t="str">
        <f>IF(A379&lt;0,'CAR PROMAX FILIAL CRUZ'!S373," ")</f>
        <v xml:space="preserve"> </v>
      </c>
      <c r="P379" s="37" t="str">
        <f>IF(A379&lt;0,'CAR PROMAX FILIAL CRUZ'!T373," ")</f>
        <v xml:space="preserve"> </v>
      </c>
      <c r="Q379" s="37" t="str">
        <f>IF(A379&lt;0,'CAR PROMAX FILIAL CRUZ'!U373," ")</f>
        <v xml:space="preserve"> </v>
      </c>
      <c r="R379" s="34" t="str">
        <f>IF(A379&lt;0,'CAR PROMAX FILIAL CRUZ'!V373," ")</f>
        <v xml:space="preserve"> </v>
      </c>
    </row>
    <row r="380" spans="1:18" x14ac:dyDescent="0.25">
      <c r="A380">
        <f>'CAR PROMAX FILIAL CRUZ'!O374</f>
        <v>0</v>
      </c>
      <c r="B380" s="33" t="str">
        <f t="shared" si="13"/>
        <v xml:space="preserve"> </v>
      </c>
      <c r="C380" s="33" t="str">
        <f t="shared" si="12"/>
        <v xml:space="preserve"> </v>
      </c>
      <c r="D380" s="34" t="str">
        <f>IF(A380&lt;0,'CAR PROMAX FILIAL CRUZ'!B374," ")</f>
        <v xml:space="preserve"> </v>
      </c>
      <c r="E380" s="35" t="str">
        <f>IF(A380&lt;0,'CAR PROMAX FILIAL CRUZ'!C374," ")</f>
        <v xml:space="preserve"> </v>
      </c>
      <c r="F380" s="34" t="str">
        <f>IF(A380&lt;0,'CAR PROMAX FILIAL CRUZ'!D374," ")</f>
        <v xml:space="preserve"> </v>
      </c>
      <c r="G380" s="34" t="str">
        <f>IF(A380&lt;0,'CAR PROMAX FILIAL CRUZ'!E374," ")</f>
        <v xml:space="preserve"> </v>
      </c>
      <c r="H380" s="34" t="str">
        <f>IF(A380&lt;0,'CAR PROMAX FILIAL CRUZ'!J374," ")</f>
        <v xml:space="preserve"> </v>
      </c>
      <c r="I380" s="34"/>
      <c r="J380" s="34"/>
      <c r="K380" s="34" t="str">
        <f>IF(A380&lt;0,'CAR PROMAX FILIAL CRUZ'!O374," ")</f>
        <v xml:space="preserve"> </v>
      </c>
      <c r="L380" s="36" t="str">
        <f>IF(A380&lt;0,'CAR PROMAX FILIAL CRUZ'!P374," ")</f>
        <v xml:space="preserve"> </v>
      </c>
      <c r="M380" s="36" t="str">
        <f>IF(A380&lt;0,'CAR PROMAX FILIAL CRUZ'!Q374," ")</f>
        <v xml:space="preserve"> </v>
      </c>
      <c r="N380" s="36" t="str">
        <f>IF(A380&lt;0,'CAR PROMAX FILIAL CRUZ'!R374," ")</f>
        <v xml:space="preserve"> </v>
      </c>
      <c r="O380" s="37" t="str">
        <f>IF(A380&lt;0,'CAR PROMAX FILIAL CRUZ'!S374," ")</f>
        <v xml:space="preserve"> </v>
      </c>
      <c r="P380" s="37" t="str">
        <f>IF(A380&lt;0,'CAR PROMAX FILIAL CRUZ'!T374," ")</f>
        <v xml:space="preserve"> </v>
      </c>
      <c r="Q380" s="37" t="str">
        <f>IF(A380&lt;0,'CAR PROMAX FILIAL CRUZ'!U374," ")</f>
        <v xml:space="preserve"> </v>
      </c>
      <c r="R380" s="34" t="str">
        <f>IF(A380&lt;0,'CAR PROMAX FILIAL CRUZ'!V374," ")</f>
        <v xml:space="preserve"> </v>
      </c>
    </row>
    <row r="381" spans="1:18" x14ac:dyDescent="0.25">
      <c r="A381">
        <f>'CAR PROMAX FILIAL CRUZ'!O375</f>
        <v>0</v>
      </c>
      <c r="B381" s="33" t="str">
        <f t="shared" si="13"/>
        <v xml:space="preserve"> </v>
      </c>
      <c r="C381" s="33" t="str">
        <f t="shared" si="12"/>
        <v xml:space="preserve"> </v>
      </c>
      <c r="D381" s="34" t="str">
        <f>IF(A381&lt;0,'CAR PROMAX FILIAL CRUZ'!B375," ")</f>
        <v xml:space="preserve"> </v>
      </c>
      <c r="E381" s="35" t="str">
        <f>IF(A381&lt;0,'CAR PROMAX FILIAL CRUZ'!C375," ")</f>
        <v xml:space="preserve"> </v>
      </c>
      <c r="F381" s="34" t="str">
        <f>IF(A381&lt;0,'CAR PROMAX FILIAL CRUZ'!D375," ")</f>
        <v xml:space="preserve"> </v>
      </c>
      <c r="G381" s="34" t="str">
        <f>IF(A381&lt;0,'CAR PROMAX FILIAL CRUZ'!E375," ")</f>
        <v xml:space="preserve"> </v>
      </c>
      <c r="H381" s="34" t="str">
        <f>IF(A381&lt;0,'CAR PROMAX FILIAL CRUZ'!J375," ")</f>
        <v xml:space="preserve"> </v>
      </c>
      <c r="I381" s="34"/>
      <c r="J381" s="34"/>
      <c r="K381" s="34" t="str">
        <f>IF(A381&lt;0,'CAR PROMAX FILIAL CRUZ'!O375," ")</f>
        <v xml:space="preserve"> </v>
      </c>
      <c r="L381" s="36" t="str">
        <f>IF(A381&lt;0,'CAR PROMAX FILIAL CRUZ'!P375," ")</f>
        <v xml:space="preserve"> </v>
      </c>
      <c r="M381" s="36" t="str">
        <f>IF(A381&lt;0,'CAR PROMAX FILIAL CRUZ'!Q375," ")</f>
        <v xml:space="preserve"> </v>
      </c>
      <c r="N381" s="36" t="str">
        <f>IF(A381&lt;0,'CAR PROMAX FILIAL CRUZ'!R375," ")</f>
        <v xml:space="preserve"> </v>
      </c>
      <c r="O381" s="37" t="str">
        <f>IF(A381&lt;0,'CAR PROMAX FILIAL CRUZ'!S375," ")</f>
        <v xml:space="preserve"> </v>
      </c>
      <c r="P381" s="37" t="str">
        <f>IF(A381&lt;0,'CAR PROMAX FILIAL CRUZ'!T375," ")</f>
        <v xml:space="preserve"> </v>
      </c>
      <c r="Q381" s="37" t="str">
        <f>IF(A381&lt;0,'CAR PROMAX FILIAL CRUZ'!U375," ")</f>
        <v xml:space="preserve"> </v>
      </c>
      <c r="R381" s="34" t="str">
        <f>IF(A381&lt;0,'CAR PROMAX FILIAL CRUZ'!V375," ")</f>
        <v xml:space="preserve"> </v>
      </c>
    </row>
    <row r="382" spans="1:18" x14ac:dyDescent="0.25">
      <c r="A382">
        <f>'CAR PROMAX FILIAL CRUZ'!O376</f>
        <v>0</v>
      </c>
      <c r="B382" s="33" t="str">
        <f t="shared" si="13"/>
        <v xml:space="preserve"> </v>
      </c>
      <c r="C382" s="33" t="str">
        <f t="shared" si="12"/>
        <v xml:space="preserve"> </v>
      </c>
      <c r="D382" s="34" t="str">
        <f>IF(A382&lt;0,'CAR PROMAX FILIAL CRUZ'!B376," ")</f>
        <v xml:space="preserve"> </v>
      </c>
      <c r="E382" s="35" t="str">
        <f>IF(A382&lt;0,'CAR PROMAX FILIAL CRUZ'!C376," ")</f>
        <v xml:space="preserve"> </v>
      </c>
      <c r="F382" s="34" t="str">
        <f>IF(A382&lt;0,'CAR PROMAX FILIAL CRUZ'!D376," ")</f>
        <v xml:space="preserve"> </v>
      </c>
      <c r="G382" s="34" t="str">
        <f>IF(A382&lt;0,'CAR PROMAX FILIAL CRUZ'!E376," ")</f>
        <v xml:space="preserve"> </v>
      </c>
      <c r="H382" s="34" t="str">
        <f>IF(A382&lt;0,'CAR PROMAX FILIAL CRUZ'!J376," ")</f>
        <v xml:space="preserve"> </v>
      </c>
      <c r="I382" s="34"/>
      <c r="J382" s="34"/>
      <c r="K382" s="34" t="str">
        <f>IF(A382&lt;0,'CAR PROMAX FILIAL CRUZ'!O376," ")</f>
        <v xml:space="preserve"> </v>
      </c>
      <c r="L382" s="36" t="str">
        <f>IF(A382&lt;0,'CAR PROMAX FILIAL CRUZ'!P376," ")</f>
        <v xml:space="preserve"> </v>
      </c>
      <c r="M382" s="36" t="str">
        <f>IF(A382&lt;0,'CAR PROMAX FILIAL CRUZ'!Q376," ")</f>
        <v xml:space="preserve"> </v>
      </c>
      <c r="N382" s="36" t="str">
        <f>IF(A382&lt;0,'CAR PROMAX FILIAL CRUZ'!R376," ")</f>
        <v xml:space="preserve"> </v>
      </c>
      <c r="O382" s="37" t="str">
        <f>IF(A382&lt;0,'CAR PROMAX FILIAL CRUZ'!S376," ")</f>
        <v xml:space="preserve"> </v>
      </c>
      <c r="P382" s="37" t="str">
        <f>IF(A382&lt;0,'CAR PROMAX FILIAL CRUZ'!T376," ")</f>
        <v xml:space="preserve"> </v>
      </c>
      <c r="Q382" s="37" t="str">
        <f>IF(A382&lt;0,'CAR PROMAX FILIAL CRUZ'!U376," ")</f>
        <v xml:space="preserve"> </v>
      </c>
      <c r="R382" s="34" t="str">
        <f>IF(A382&lt;0,'CAR PROMAX FILIAL CRUZ'!V376," ")</f>
        <v xml:space="preserve"> </v>
      </c>
    </row>
    <row r="383" spans="1:18" x14ac:dyDescent="0.25">
      <c r="A383">
        <f>'CAR PROMAX FILIAL CRUZ'!O377</f>
        <v>0</v>
      </c>
      <c r="B383" s="33" t="str">
        <f t="shared" si="13"/>
        <v xml:space="preserve"> </v>
      </c>
      <c r="C383" s="33" t="str">
        <f t="shared" si="12"/>
        <v xml:space="preserve"> </v>
      </c>
      <c r="D383" s="34" t="str">
        <f>IF(A383&lt;0,'CAR PROMAX FILIAL CRUZ'!B377," ")</f>
        <v xml:space="preserve"> </v>
      </c>
      <c r="E383" s="35" t="str">
        <f>IF(A383&lt;0,'CAR PROMAX FILIAL CRUZ'!C377," ")</f>
        <v xml:space="preserve"> </v>
      </c>
      <c r="F383" s="34" t="str">
        <f>IF(A383&lt;0,'CAR PROMAX FILIAL CRUZ'!D377," ")</f>
        <v xml:space="preserve"> </v>
      </c>
      <c r="G383" s="34" t="str">
        <f>IF(A383&lt;0,'CAR PROMAX FILIAL CRUZ'!E377," ")</f>
        <v xml:space="preserve"> </v>
      </c>
      <c r="H383" s="34" t="str">
        <f>IF(A383&lt;0,'CAR PROMAX FILIAL CRUZ'!J377," ")</f>
        <v xml:space="preserve"> </v>
      </c>
      <c r="I383" s="34"/>
      <c r="J383" s="34"/>
      <c r="K383" s="34" t="str">
        <f>IF(A383&lt;0,'CAR PROMAX FILIAL CRUZ'!O377," ")</f>
        <v xml:space="preserve"> </v>
      </c>
      <c r="L383" s="36" t="str">
        <f>IF(A383&lt;0,'CAR PROMAX FILIAL CRUZ'!P377," ")</f>
        <v xml:space="preserve"> </v>
      </c>
      <c r="M383" s="36" t="str">
        <f>IF(A383&lt;0,'CAR PROMAX FILIAL CRUZ'!Q377," ")</f>
        <v xml:space="preserve"> </v>
      </c>
      <c r="N383" s="36" t="str">
        <f>IF(A383&lt;0,'CAR PROMAX FILIAL CRUZ'!R377," ")</f>
        <v xml:space="preserve"> </v>
      </c>
      <c r="O383" s="37" t="str">
        <f>IF(A383&lt;0,'CAR PROMAX FILIAL CRUZ'!S377," ")</f>
        <v xml:space="preserve"> </v>
      </c>
      <c r="P383" s="37" t="str">
        <f>IF(A383&lt;0,'CAR PROMAX FILIAL CRUZ'!T377," ")</f>
        <v xml:space="preserve"> </v>
      </c>
      <c r="Q383" s="37" t="str">
        <f>IF(A383&lt;0,'CAR PROMAX FILIAL CRUZ'!U377," ")</f>
        <v xml:space="preserve"> </v>
      </c>
      <c r="R383" s="34" t="str">
        <f>IF(A383&lt;0,'CAR PROMAX FILIAL CRUZ'!V377," ")</f>
        <v xml:space="preserve"> </v>
      </c>
    </row>
    <row r="384" spans="1:18" x14ac:dyDescent="0.25">
      <c r="A384">
        <f>'CAR PROMAX FILIAL CRUZ'!O378</f>
        <v>0</v>
      </c>
      <c r="B384" s="33" t="str">
        <f t="shared" si="13"/>
        <v xml:space="preserve"> </v>
      </c>
      <c r="C384" s="33" t="str">
        <f t="shared" si="12"/>
        <v xml:space="preserve"> </v>
      </c>
      <c r="D384" s="34" t="str">
        <f>IF(A384&lt;0,'CAR PROMAX FILIAL CRUZ'!B378," ")</f>
        <v xml:space="preserve"> </v>
      </c>
      <c r="E384" s="35" t="str">
        <f>IF(A384&lt;0,'CAR PROMAX FILIAL CRUZ'!C378," ")</f>
        <v xml:space="preserve"> </v>
      </c>
      <c r="F384" s="34" t="str">
        <f>IF(A384&lt;0,'CAR PROMAX FILIAL CRUZ'!D378," ")</f>
        <v xml:space="preserve"> </v>
      </c>
      <c r="G384" s="34" t="str">
        <f>IF(A384&lt;0,'CAR PROMAX FILIAL CRUZ'!E378," ")</f>
        <v xml:space="preserve"> </v>
      </c>
      <c r="H384" s="34" t="str">
        <f>IF(A384&lt;0,'CAR PROMAX FILIAL CRUZ'!J378," ")</f>
        <v xml:space="preserve"> </v>
      </c>
      <c r="I384" s="34"/>
      <c r="J384" s="34"/>
      <c r="K384" s="34" t="str">
        <f>IF(A384&lt;0,'CAR PROMAX FILIAL CRUZ'!O378," ")</f>
        <v xml:space="preserve"> </v>
      </c>
      <c r="L384" s="36" t="str">
        <f>IF(A384&lt;0,'CAR PROMAX FILIAL CRUZ'!P378," ")</f>
        <v xml:space="preserve"> </v>
      </c>
      <c r="M384" s="36" t="str">
        <f>IF(A384&lt;0,'CAR PROMAX FILIAL CRUZ'!Q378," ")</f>
        <v xml:space="preserve"> </v>
      </c>
      <c r="N384" s="36" t="str">
        <f>IF(A384&lt;0,'CAR PROMAX FILIAL CRUZ'!R378," ")</f>
        <v xml:space="preserve"> </v>
      </c>
      <c r="O384" s="37" t="str">
        <f>IF(A384&lt;0,'CAR PROMAX FILIAL CRUZ'!S378," ")</f>
        <v xml:space="preserve"> </v>
      </c>
      <c r="P384" s="37" t="str">
        <f>IF(A384&lt;0,'CAR PROMAX FILIAL CRUZ'!T378," ")</f>
        <v xml:space="preserve"> </v>
      </c>
      <c r="Q384" s="37" t="str">
        <f>IF(A384&lt;0,'CAR PROMAX FILIAL CRUZ'!U378," ")</f>
        <v xml:space="preserve"> </v>
      </c>
      <c r="R384" s="34" t="str">
        <f>IF(A384&lt;0,'CAR PROMAX FILIAL CRUZ'!V378," ")</f>
        <v xml:space="preserve"> </v>
      </c>
    </row>
    <row r="385" spans="1:18" x14ac:dyDescent="0.25">
      <c r="A385">
        <f>'CAR PROMAX FILIAL CRUZ'!O379</f>
        <v>0</v>
      </c>
      <c r="B385" s="33" t="str">
        <f t="shared" si="13"/>
        <v xml:space="preserve"> </v>
      </c>
      <c r="C385" s="33" t="str">
        <f t="shared" si="12"/>
        <v xml:space="preserve"> </v>
      </c>
      <c r="D385" s="34" t="str">
        <f>IF(A385&lt;0,'CAR PROMAX FILIAL CRUZ'!B379," ")</f>
        <v xml:space="preserve"> </v>
      </c>
      <c r="E385" s="35" t="str">
        <f>IF(A385&lt;0,'CAR PROMAX FILIAL CRUZ'!C379," ")</f>
        <v xml:space="preserve"> </v>
      </c>
      <c r="F385" s="34" t="str">
        <f>IF(A385&lt;0,'CAR PROMAX FILIAL CRUZ'!D379," ")</f>
        <v xml:space="preserve"> </v>
      </c>
      <c r="G385" s="34" t="str">
        <f>IF(A385&lt;0,'CAR PROMAX FILIAL CRUZ'!E379," ")</f>
        <v xml:space="preserve"> </v>
      </c>
      <c r="H385" s="34" t="str">
        <f>IF(A385&lt;0,'CAR PROMAX FILIAL CRUZ'!J379," ")</f>
        <v xml:space="preserve"> </v>
      </c>
      <c r="I385" s="34"/>
      <c r="J385" s="34"/>
      <c r="K385" s="34" t="str">
        <f>IF(A385&lt;0,'CAR PROMAX FILIAL CRUZ'!O379," ")</f>
        <v xml:space="preserve"> </v>
      </c>
      <c r="L385" s="36" t="str">
        <f>IF(A385&lt;0,'CAR PROMAX FILIAL CRUZ'!P379," ")</f>
        <v xml:space="preserve"> </v>
      </c>
      <c r="M385" s="36" t="str">
        <f>IF(A385&lt;0,'CAR PROMAX FILIAL CRUZ'!Q379," ")</f>
        <v xml:space="preserve"> </v>
      </c>
      <c r="N385" s="36" t="str">
        <f>IF(A385&lt;0,'CAR PROMAX FILIAL CRUZ'!R379," ")</f>
        <v xml:space="preserve"> </v>
      </c>
      <c r="O385" s="37" t="str">
        <f>IF(A385&lt;0,'CAR PROMAX FILIAL CRUZ'!S379," ")</f>
        <v xml:space="preserve"> </v>
      </c>
      <c r="P385" s="37" t="str">
        <f>IF(A385&lt;0,'CAR PROMAX FILIAL CRUZ'!T379," ")</f>
        <v xml:space="preserve"> </v>
      </c>
      <c r="Q385" s="37" t="str">
        <f>IF(A385&lt;0,'CAR PROMAX FILIAL CRUZ'!U379," ")</f>
        <v xml:space="preserve"> </v>
      </c>
      <c r="R385" s="34" t="str">
        <f>IF(A385&lt;0,'CAR PROMAX FILIAL CRUZ'!V379," ")</f>
        <v xml:space="preserve"> </v>
      </c>
    </row>
    <row r="386" spans="1:18" x14ac:dyDescent="0.25">
      <c r="A386">
        <f>'CAR PROMAX FILIAL CRUZ'!O380</f>
        <v>0</v>
      </c>
      <c r="B386" s="33" t="str">
        <f t="shared" si="13"/>
        <v xml:space="preserve"> </v>
      </c>
      <c r="C386" s="33" t="str">
        <f t="shared" si="12"/>
        <v xml:space="preserve"> </v>
      </c>
      <c r="D386" s="34" t="str">
        <f>IF(A386&lt;0,'CAR PROMAX FILIAL CRUZ'!B380," ")</f>
        <v xml:space="preserve"> </v>
      </c>
      <c r="E386" s="35" t="str">
        <f>IF(A386&lt;0,'CAR PROMAX FILIAL CRUZ'!C380," ")</f>
        <v xml:space="preserve"> </v>
      </c>
      <c r="F386" s="34" t="str">
        <f>IF(A386&lt;0,'CAR PROMAX FILIAL CRUZ'!D380," ")</f>
        <v xml:space="preserve"> </v>
      </c>
      <c r="G386" s="34" t="str">
        <f>IF(A386&lt;0,'CAR PROMAX FILIAL CRUZ'!E380," ")</f>
        <v xml:space="preserve"> </v>
      </c>
      <c r="H386" s="34" t="str">
        <f>IF(A386&lt;0,'CAR PROMAX FILIAL CRUZ'!J380," ")</f>
        <v xml:space="preserve"> </v>
      </c>
      <c r="I386" s="34"/>
      <c r="J386" s="34"/>
      <c r="K386" s="34" t="str">
        <f>IF(A386&lt;0,'CAR PROMAX FILIAL CRUZ'!O380," ")</f>
        <v xml:space="preserve"> </v>
      </c>
      <c r="L386" s="36" t="str">
        <f>IF(A386&lt;0,'CAR PROMAX FILIAL CRUZ'!P380," ")</f>
        <v xml:space="preserve"> </v>
      </c>
      <c r="M386" s="36" t="str">
        <f>IF(A386&lt;0,'CAR PROMAX FILIAL CRUZ'!Q380," ")</f>
        <v xml:space="preserve"> </v>
      </c>
      <c r="N386" s="36" t="str">
        <f>IF(A386&lt;0,'CAR PROMAX FILIAL CRUZ'!R380," ")</f>
        <v xml:space="preserve"> </v>
      </c>
      <c r="O386" s="37" t="str">
        <f>IF(A386&lt;0,'CAR PROMAX FILIAL CRUZ'!S380," ")</f>
        <v xml:space="preserve"> </v>
      </c>
      <c r="P386" s="37" t="str">
        <f>IF(A386&lt;0,'CAR PROMAX FILIAL CRUZ'!T380," ")</f>
        <v xml:space="preserve"> </v>
      </c>
      <c r="Q386" s="37" t="str">
        <f>IF(A386&lt;0,'CAR PROMAX FILIAL CRUZ'!U380," ")</f>
        <v xml:space="preserve"> </v>
      </c>
      <c r="R386" s="34" t="str">
        <f>IF(A386&lt;0,'CAR PROMAX FILIAL CRUZ'!V380," ")</f>
        <v xml:space="preserve"> </v>
      </c>
    </row>
    <row r="387" spans="1:18" x14ac:dyDescent="0.25">
      <c r="A387">
        <f>'CAR PROMAX FILIAL CRUZ'!O381</f>
        <v>0</v>
      </c>
      <c r="B387" s="33" t="str">
        <f t="shared" si="13"/>
        <v xml:space="preserve"> </v>
      </c>
      <c r="C387" s="33" t="str">
        <f t="shared" si="12"/>
        <v xml:space="preserve"> </v>
      </c>
      <c r="D387" s="34" t="str">
        <f>IF(A387&lt;0,'CAR PROMAX FILIAL CRUZ'!B381," ")</f>
        <v xml:space="preserve"> </v>
      </c>
      <c r="E387" s="35" t="str">
        <f>IF(A387&lt;0,'CAR PROMAX FILIAL CRUZ'!C381," ")</f>
        <v xml:space="preserve"> </v>
      </c>
      <c r="F387" s="34" t="str">
        <f>IF(A387&lt;0,'CAR PROMAX FILIAL CRUZ'!D381," ")</f>
        <v xml:space="preserve"> </v>
      </c>
      <c r="G387" s="34" t="str">
        <f>IF(A387&lt;0,'CAR PROMAX FILIAL CRUZ'!E381," ")</f>
        <v xml:space="preserve"> </v>
      </c>
      <c r="H387" s="34" t="str">
        <f>IF(A387&lt;0,'CAR PROMAX FILIAL CRUZ'!J381," ")</f>
        <v xml:space="preserve"> </v>
      </c>
      <c r="I387" s="34"/>
      <c r="J387" s="34"/>
      <c r="K387" s="34" t="str">
        <f>IF(A387&lt;0,'CAR PROMAX FILIAL CRUZ'!O381," ")</f>
        <v xml:space="preserve"> </v>
      </c>
      <c r="L387" s="36" t="str">
        <f>IF(A387&lt;0,'CAR PROMAX FILIAL CRUZ'!P381," ")</f>
        <v xml:space="preserve"> </v>
      </c>
      <c r="M387" s="36" t="str">
        <f>IF(A387&lt;0,'CAR PROMAX FILIAL CRUZ'!Q381," ")</f>
        <v xml:space="preserve"> </v>
      </c>
      <c r="N387" s="36" t="str">
        <f>IF(A387&lt;0,'CAR PROMAX FILIAL CRUZ'!R381," ")</f>
        <v xml:space="preserve"> </v>
      </c>
      <c r="O387" s="37" t="str">
        <f>IF(A387&lt;0,'CAR PROMAX FILIAL CRUZ'!S381," ")</f>
        <v xml:space="preserve"> </v>
      </c>
      <c r="P387" s="37" t="str">
        <f>IF(A387&lt;0,'CAR PROMAX FILIAL CRUZ'!T381," ")</f>
        <v xml:space="preserve"> </v>
      </c>
      <c r="Q387" s="37" t="str">
        <f>IF(A387&lt;0,'CAR PROMAX FILIAL CRUZ'!U381," ")</f>
        <v xml:space="preserve"> </v>
      </c>
      <c r="R387" s="34" t="str">
        <f>IF(A387&lt;0,'CAR PROMAX FILIAL CRUZ'!V381," ")</f>
        <v xml:space="preserve"> </v>
      </c>
    </row>
    <row r="388" spans="1:18" x14ac:dyDescent="0.25">
      <c r="A388">
        <f>'CAR PROMAX FILIAL CRUZ'!O382</f>
        <v>0</v>
      </c>
      <c r="B388" s="33" t="str">
        <f t="shared" si="13"/>
        <v xml:space="preserve"> </v>
      </c>
      <c r="C388" s="33" t="str">
        <f t="shared" si="12"/>
        <v xml:space="preserve"> </v>
      </c>
      <c r="D388" s="34" t="str">
        <f>IF(A388&lt;0,'CAR PROMAX FILIAL CRUZ'!B382," ")</f>
        <v xml:space="preserve"> </v>
      </c>
      <c r="E388" s="35" t="str">
        <f>IF(A388&lt;0,'CAR PROMAX FILIAL CRUZ'!C382," ")</f>
        <v xml:space="preserve"> </v>
      </c>
      <c r="F388" s="34" t="str">
        <f>IF(A388&lt;0,'CAR PROMAX FILIAL CRUZ'!D382," ")</f>
        <v xml:space="preserve"> </v>
      </c>
      <c r="G388" s="34" t="str">
        <f>IF(A388&lt;0,'CAR PROMAX FILIAL CRUZ'!E382," ")</f>
        <v xml:space="preserve"> </v>
      </c>
      <c r="H388" s="34" t="str">
        <f>IF(A388&lt;0,'CAR PROMAX FILIAL CRUZ'!J382," ")</f>
        <v xml:space="preserve"> </v>
      </c>
      <c r="I388" s="34"/>
      <c r="J388" s="34"/>
      <c r="K388" s="34" t="str">
        <f>IF(A388&lt;0,'CAR PROMAX FILIAL CRUZ'!O382," ")</f>
        <v xml:space="preserve"> </v>
      </c>
      <c r="L388" s="36" t="str">
        <f>IF(A388&lt;0,'CAR PROMAX FILIAL CRUZ'!P382," ")</f>
        <v xml:space="preserve"> </v>
      </c>
      <c r="M388" s="36" t="str">
        <f>IF(A388&lt;0,'CAR PROMAX FILIAL CRUZ'!Q382," ")</f>
        <v xml:space="preserve"> </v>
      </c>
      <c r="N388" s="36" t="str">
        <f>IF(A388&lt;0,'CAR PROMAX FILIAL CRUZ'!R382," ")</f>
        <v xml:space="preserve"> </v>
      </c>
      <c r="O388" s="37" t="str">
        <f>IF(A388&lt;0,'CAR PROMAX FILIAL CRUZ'!S382," ")</f>
        <v xml:space="preserve"> </v>
      </c>
      <c r="P388" s="37" t="str">
        <f>IF(A388&lt;0,'CAR PROMAX FILIAL CRUZ'!T382," ")</f>
        <v xml:space="preserve"> </v>
      </c>
      <c r="Q388" s="37" t="str">
        <f>IF(A388&lt;0,'CAR PROMAX FILIAL CRUZ'!U382," ")</f>
        <v xml:space="preserve"> </v>
      </c>
      <c r="R388" s="34" t="str">
        <f>IF(A388&lt;0,'CAR PROMAX FILIAL CRUZ'!V382," ")</f>
        <v xml:space="preserve"> </v>
      </c>
    </row>
    <row r="389" spans="1:18" x14ac:dyDescent="0.25">
      <c r="A389">
        <f>'CAR PROMAX FILIAL CRUZ'!O383</f>
        <v>0</v>
      </c>
      <c r="B389" s="33" t="str">
        <f t="shared" si="13"/>
        <v xml:space="preserve"> </v>
      </c>
      <c r="C389" s="33" t="str">
        <f t="shared" si="12"/>
        <v xml:space="preserve"> </v>
      </c>
      <c r="D389" s="34" t="str">
        <f>IF(A389&lt;0,'CAR PROMAX FILIAL CRUZ'!B383," ")</f>
        <v xml:space="preserve"> </v>
      </c>
      <c r="E389" s="35" t="str">
        <f>IF(A389&lt;0,'CAR PROMAX FILIAL CRUZ'!C383," ")</f>
        <v xml:space="preserve"> </v>
      </c>
      <c r="F389" s="34" t="str">
        <f>IF(A389&lt;0,'CAR PROMAX FILIAL CRUZ'!D383," ")</f>
        <v xml:space="preserve"> </v>
      </c>
      <c r="G389" s="34" t="str">
        <f>IF(A389&lt;0,'CAR PROMAX FILIAL CRUZ'!E383," ")</f>
        <v xml:space="preserve"> </v>
      </c>
      <c r="H389" s="34" t="str">
        <f>IF(A389&lt;0,'CAR PROMAX FILIAL CRUZ'!J383," ")</f>
        <v xml:space="preserve"> </v>
      </c>
      <c r="I389" s="34"/>
      <c r="J389" s="34"/>
      <c r="K389" s="34" t="str">
        <f>IF(A389&lt;0,'CAR PROMAX FILIAL CRUZ'!O383," ")</f>
        <v xml:space="preserve"> </v>
      </c>
      <c r="L389" s="36" t="str">
        <f>IF(A389&lt;0,'CAR PROMAX FILIAL CRUZ'!P383," ")</f>
        <v xml:space="preserve"> </v>
      </c>
      <c r="M389" s="36" t="str">
        <f>IF(A389&lt;0,'CAR PROMAX FILIAL CRUZ'!Q383," ")</f>
        <v xml:space="preserve"> </v>
      </c>
      <c r="N389" s="36" t="str">
        <f>IF(A389&lt;0,'CAR PROMAX FILIAL CRUZ'!R383," ")</f>
        <v xml:space="preserve"> </v>
      </c>
      <c r="O389" s="37" t="str">
        <f>IF(A389&lt;0,'CAR PROMAX FILIAL CRUZ'!S383," ")</f>
        <v xml:space="preserve"> </v>
      </c>
      <c r="P389" s="37" t="str">
        <f>IF(A389&lt;0,'CAR PROMAX FILIAL CRUZ'!T383," ")</f>
        <v xml:space="preserve"> </v>
      </c>
      <c r="Q389" s="37" t="str">
        <f>IF(A389&lt;0,'CAR PROMAX FILIAL CRUZ'!U383," ")</f>
        <v xml:space="preserve"> </v>
      </c>
      <c r="R389" s="34" t="str">
        <f>IF(A389&lt;0,'CAR PROMAX FILIAL CRUZ'!V383," ")</f>
        <v xml:space="preserve"> </v>
      </c>
    </row>
    <row r="390" spans="1:18" x14ac:dyDescent="0.25">
      <c r="A390">
        <f>'CAR PROMAX FILIAL CRUZ'!O384</f>
        <v>0</v>
      </c>
      <c r="B390" s="33" t="str">
        <f t="shared" si="13"/>
        <v xml:space="preserve"> </v>
      </c>
      <c r="C390" s="33" t="str">
        <f t="shared" si="12"/>
        <v xml:space="preserve"> </v>
      </c>
      <c r="D390" s="34" t="str">
        <f>IF(A390&lt;0,'CAR PROMAX FILIAL CRUZ'!B384," ")</f>
        <v xml:space="preserve"> </v>
      </c>
      <c r="E390" s="35" t="str">
        <f>IF(A390&lt;0,'CAR PROMAX FILIAL CRUZ'!C384," ")</f>
        <v xml:space="preserve"> </v>
      </c>
      <c r="F390" s="34" t="str">
        <f>IF(A390&lt;0,'CAR PROMAX FILIAL CRUZ'!D384," ")</f>
        <v xml:space="preserve"> </v>
      </c>
      <c r="G390" s="34" t="str">
        <f>IF(A390&lt;0,'CAR PROMAX FILIAL CRUZ'!E384," ")</f>
        <v xml:space="preserve"> </v>
      </c>
      <c r="H390" s="34" t="str">
        <f>IF(A390&lt;0,'CAR PROMAX FILIAL CRUZ'!J384," ")</f>
        <v xml:space="preserve"> </v>
      </c>
      <c r="I390" s="34"/>
      <c r="J390" s="34"/>
      <c r="K390" s="34" t="str">
        <f>IF(A390&lt;0,'CAR PROMAX FILIAL CRUZ'!O384," ")</f>
        <v xml:space="preserve"> </v>
      </c>
      <c r="L390" s="36" t="str">
        <f>IF(A390&lt;0,'CAR PROMAX FILIAL CRUZ'!P384," ")</f>
        <v xml:space="preserve"> </v>
      </c>
      <c r="M390" s="36" t="str">
        <f>IF(A390&lt;0,'CAR PROMAX FILIAL CRUZ'!Q384," ")</f>
        <v xml:space="preserve"> </v>
      </c>
      <c r="N390" s="36" t="str">
        <f>IF(A390&lt;0,'CAR PROMAX FILIAL CRUZ'!R384," ")</f>
        <v xml:space="preserve"> </v>
      </c>
      <c r="O390" s="37" t="str">
        <f>IF(A390&lt;0,'CAR PROMAX FILIAL CRUZ'!S384," ")</f>
        <v xml:space="preserve"> </v>
      </c>
      <c r="P390" s="37" t="str">
        <f>IF(A390&lt;0,'CAR PROMAX FILIAL CRUZ'!T384," ")</f>
        <v xml:space="preserve"> </v>
      </c>
      <c r="Q390" s="37" t="str">
        <f>IF(A390&lt;0,'CAR PROMAX FILIAL CRUZ'!U384," ")</f>
        <v xml:space="preserve"> </v>
      </c>
      <c r="R390" s="34" t="str">
        <f>IF(A390&lt;0,'CAR PROMAX FILIAL CRUZ'!V384," ")</f>
        <v xml:space="preserve"> </v>
      </c>
    </row>
    <row r="391" spans="1:18" x14ac:dyDescent="0.25">
      <c r="A391">
        <f>'CAR PROMAX FILIAL CRUZ'!O385</f>
        <v>0</v>
      </c>
      <c r="B391" s="33" t="str">
        <f t="shared" si="13"/>
        <v xml:space="preserve"> </v>
      </c>
      <c r="C391" s="33" t="str">
        <f t="shared" si="12"/>
        <v xml:space="preserve"> </v>
      </c>
      <c r="D391" s="34" t="str">
        <f>IF(A391&lt;0,'CAR PROMAX FILIAL CRUZ'!B385," ")</f>
        <v xml:space="preserve"> </v>
      </c>
      <c r="E391" s="35" t="str">
        <f>IF(A391&lt;0,'CAR PROMAX FILIAL CRUZ'!C385," ")</f>
        <v xml:space="preserve"> </v>
      </c>
      <c r="F391" s="34" t="str">
        <f>IF(A391&lt;0,'CAR PROMAX FILIAL CRUZ'!D385," ")</f>
        <v xml:space="preserve"> </v>
      </c>
      <c r="G391" s="34" t="str">
        <f>IF(A391&lt;0,'CAR PROMAX FILIAL CRUZ'!E385," ")</f>
        <v xml:space="preserve"> </v>
      </c>
      <c r="H391" s="34" t="str">
        <f>IF(A391&lt;0,'CAR PROMAX FILIAL CRUZ'!J385," ")</f>
        <v xml:space="preserve"> </v>
      </c>
      <c r="I391" s="34"/>
      <c r="J391" s="34"/>
      <c r="K391" s="34" t="str">
        <f>IF(A391&lt;0,'CAR PROMAX FILIAL CRUZ'!O385," ")</f>
        <v xml:space="preserve"> </v>
      </c>
      <c r="L391" s="36" t="str">
        <f>IF(A391&lt;0,'CAR PROMAX FILIAL CRUZ'!P385," ")</f>
        <v xml:space="preserve"> </v>
      </c>
      <c r="M391" s="36" t="str">
        <f>IF(A391&lt;0,'CAR PROMAX FILIAL CRUZ'!Q385," ")</f>
        <v xml:space="preserve"> </v>
      </c>
      <c r="N391" s="36" t="str">
        <f>IF(A391&lt;0,'CAR PROMAX FILIAL CRUZ'!R385," ")</f>
        <v xml:space="preserve"> </v>
      </c>
      <c r="O391" s="37" t="str">
        <f>IF(A391&lt;0,'CAR PROMAX FILIAL CRUZ'!S385," ")</f>
        <v xml:space="preserve"> </v>
      </c>
      <c r="P391" s="37" t="str">
        <f>IF(A391&lt;0,'CAR PROMAX FILIAL CRUZ'!T385," ")</f>
        <v xml:space="preserve"> </v>
      </c>
      <c r="Q391" s="37" t="str">
        <f>IF(A391&lt;0,'CAR PROMAX FILIAL CRUZ'!U385," ")</f>
        <v xml:space="preserve"> </v>
      </c>
      <c r="R391" s="34" t="str">
        <f>IF(A391&lt;0,'CAR PROMAX FILIAL CRUZ'!V385," ")</f>
        <v xml:space="preserve"> </v>
      </c>
    </row>
    <row r="392" spans="1:18" x14ac:dyDescent="0.25">
      <c r="A392">
        <f>'CAR PROMAX FILIAL CRUZ'!O386</f>
        <v>0</v>
      </c>
      <c r="B392" s="33" t="str">
        <f t="shared" si="13"/>
        <v xml:space="preserve"> </v>
      </c>
      <c r="C392" s="33" t="str">
        <f t="shared" ref="C392:C455" si="14">IF(K392&lt;0,IF(K392&gt;-16,"RN",IF(K392&gt;-46,"GV","GC"))," ")</f>
        <v xml:space="preserve"> </v>
      </c>
      <c r="D392" s="34" t="str">
        <f>IF(A392&lt;0,'CAR PROMAX FILIAL CRUZ'!B386," ")</f>
        <v xml:space="preserve"> </v>
      </c>
      <c r="E392" s="35" t="str">
        <f>IF(A392&lt;0,'CAR PROMAX FILIAL CRUZ'!C386," ")</f>
        <v xml:space="preserve"> </v>
      </c>
      <c r="F392" s="34" t="str">
        <f>IF(A392&lt;0,'CAR PROMAX FILIAL CRUZ'!D386," ")</f>
        <v xml:space="preserve"> </v>
      </c>
      <c r="G392" s="34" t="str">
        <f>IF(A392&lt;0,'CAR PROMAX FILIAL CRUZ'!E386," ")</f>
        <v xml:space="preserve"> </v>
      </c>
      <c r="H392" s="34" t="str">
        <f>IF(A392&lt;0,'CAR PROMAX FILIAL CRUZ'!J386," ")</f>
        <v xml:space="preserve"> </v>
      </c>
      <c r="I392" s="34"/>
      <c r="J392" s="34"/>
      <c r="K392" s="34" t="str">
        <f>IF(A392&lt;0,'CAR PROMAX FILIAL CRUZ'!O386," ")</f>
        <v xml:space="preserve"> </v>
      </c>
      <c r="L392" s="36" t="str">
        <f>IF(A392&lt;0,'CAR PROMAX FILIAL CRUZ'!P386," ")</f>
        <v xml:space="preserve"> </v>
      </c>
      <c r="M392" s="36" t="str">
        <f>IF(A392&lt;0,'CAR PROMAX FILIAL CRUZ'!Q386," ")</f>
        <v xml:space="preserve"> </v>
      </c>
      <c r="N392" s="36" t="str">
        <f>IF(A392&lt;0,'CAR PROMAX FILIAL CRUZ'!R386," ")</f>
        <v xml:space="preserve"> </v>
      </c>
      <c r="O392" s="37" t="str">
        <f>IF(A392&lt;0,'CAR PROMAX FILIAL CRUZ'!S386," ")</f>
        <v xml:space="preserve"> </v>
      </c>
      <c r="P392" s="37" t="str">
        <f>IF(A392&lt;0,'CAR PROMAX FILIAL CRUZ'!T386," ")</f>
        <v xml:space="preserve"> </v>
      </c>
      <c r="Q392" s="37" t="str">
        <f>IF(A392&lt;0,'CAR PROMAX FILIAL CRUZ'!U386," ")</f>
        <v xml:space="preserve"> </v>
      </c>
      <c r="R392" s="34" t="str">
        <f>IF(A392&lt;0,'CAR PROMAX FILIAL CRUZ'!V386," ")</f>
        <v xml:space="preserve"> </v>
      </c>
    </row>
    <row r="393" spans="1:18" x14ac:dyDescent="0.25">
      <c r="A393">
        <f>'CAR PROMAX FILIAL CRUZ'!O387</f>
        <v>0</v>
      </c>
      <c r="B393" s="33" t="str">
        <f t="shared" si="13"/>
        <v xml:space="preserve"> </v>
      </c>
      <c r="C393" s="33" t="str">
        <f t="shared" si="14"/>
        <v xml:space="preserve"> </v>
      </c>
      <c r="D393" s="34" t="str">
        <f>IF(A393&lt;0,'CAR PROMAX FILIAL CRUZ'!B387," ")</f>
        <v xml:space="preserve"> </v>
      </c>
      <c r="E393" s="35" t="str">
        <f>IF(A393&lt;0,'CAR PROMAX FILIAL CRUZ'!C387," ")</f>
        <v xml:space="preserve"> </v>
      </c>
      <c r="F393" s="34" t="str">
        <f>IF(A393&lt;0,'CAR PROMAX FILIAL CRUZ'!D387," ")</f>
        <v xml:space="preserve"> </v>
      </c>
      <c r="G393" s="34" t="str">
        <f>IF(A393&lt;0,'CAR PROMAX FILIAL CRUZ'!E387," ")</f>
        <v xml:space="preserve"> </v>
      </c>
      <c r="H393" s="34" t="str">
        <f>IF(A393&lt;0,'CAR PROMAX FILIAL CRUZ'!J387," ")</f>
        <v xml:space="preserve"> </v>
      </c>
      <c r="I393" s="34"/>
      <c r="J393" s="34"/>
      <c r="K393" s="34" t="str">
        <f>IF(A393&lt;0,'CAR PROMAX FILIAL CRUZ'!O387," ")</f>
        <v xml:space="preserve"> </v>
      </c>
      <c r="L393" s="36" t="str">
        <f>IF(A393&lt;0,'CAR PROMAX FILIAL CRUZ'!P387," ")</f>
        <v xml:space="preserve"> </v>
      </c>
      <c r="M393" s="36" t="str">
        <f>IF(A393&lt;0,'CAR PROMAX FILIAL CRUZ'!Q387," ")</f>
        <v xml:space="preserve"> </v>
      </c>
      <c r="N393" s="36" t="str">
        <f>IF(A393&lt;0,'CAR PROMAX FILIAL CRUZ'!R387," ")</f>
        <v xml:space="preserve"> </v>
      </c>
      <c r="O393" s="37" t="str">
        <f>IF(A393&lt;0,'CAR PROMAX FILIAL CRUZ'!S387," ")</f>
        <v xml:space="preserve"> </v>
      </c>
      <c r="P393" s="37" t="str">
        <f>IF(A393&lt;0,'CAR PROMAX FILIAL CRUZ'!T387," ")</f>
        <v xml:space="preserve"> </v>
      </c>
      <c r="Q393" s="37" t="str">
        <f>IF(A393&lt;0,'CAR PROMAX FILIAL CRUZ'!U387," ")</f>
        <v xml:space="preserve"> </v>
      </c>
      <c r="R393" s="34" t="str">
        <f>IF(A393&lt;0,'CAR PROMAX FILIAL CRUZ'!V387," ")</f>
        <v xml:space="preserve"> </v>
      </c>
    </row>
    <row r="394" spans="1:18" x14ac:dyDescent="0.25">
      <c r="A394">
        <f>'CAR PROMAX FILIAL CRUZ'!O388</f>
        <v>0</v>
      </c>
      <c r="B394" s="33" t="str">
        <f t="shared" si="13"/>
        <v xml:space="preserve"> </v>
      </c>
      <c r="C394" s="33" t="str">
        <f t="shared" si="14"/>
        <v xml:space="preserve"> </v>
      </c>
      <c r="D394" s="34" t="str">
        <f>IF(A394&lt;0,'CAR PROMAX FILIAL CRUZ'!B388," ")</f>
        <v xml:space="preserve"> </v>
      </c>
      <c r="E394" s="35" t="str">
        <f>IF(A394&lt;0,'CAR PROMAX FILIAL CRUZ'!C388," ")</f>
        <v xml:space="preserve"> </v>
      </c>
      <c r="F394" s="34" t="str">
        <f>IF(A394&lt;0,'CAR PROMAX FILIAL CRUZ'!D388," ")</f>
        <v xml:space="preserve"> </v>
      </c>
      <c r="G394" s="34" t="str">
        <f>IF(A394&lt;0,'CAR PROMAX FILIAL CRUZ'!E388," ")</f>
        <v xml:space="preserve"> </v>
      </c>
      <c r="H394" s="34" t="str">
        <f>IF(A394&lt;0,'CAR PROMAX FILIAL CRUZ'!J388," ")</f>
        <v xml:space="preserve"> </v>
      </c>
      <c r="I394" s="34"/>
      <c r="J394" s="34"/>
      <c r="K394" s="34" t="str">
        <f>IF(A394&lt;0,'CAR PROMAX FILIAL CRUZ'!O388," ")</f>
        <v xml:space="preserve"> </v>
      </c>
      <c r="L394" s="36" t="str">
        <f>IF(A394&lt;0,'CAR PROMAX FILIAL CRUZ'!P388," ")</f>
        <v xml:space="preserve"> </v>
      </c>
      <c r="M394" s="36" t="str">
        <f>IF(A394&lt;0,'CAR PROMAX FILIAL CRUZ'!Q388," ")</f>
        <v xml:space="preserve"> </v>
      </c>
      <c r="N394" s="36" t="str">
        <f>IF(A394&lt;0,'CAR PROMAX FILIAL CRUZ'!R388," ")</f>
        <v xml:space="preserve"> </v>
      </c>
      <c r="O394" s="37" t="str">
        <f>IF(A394&lt;0,'CAR PROMAX FILIAL CRUZ'!S388," ")</f>
        <v xml:space="preserve"> </v>
      </c>
      <c r="P394" s="37" t="str">
        <f>IF(A394&lt;0,'CAR PROMAX FILIAL CRUZ'!T388," ")</f>
        <v xml:space="preserve"> </v>
      </c>
      <c r="Q394" s="37" t="str">
        <f>IF(A394&lt;0,'CAR PROMAX FILIAL CRUZ'!U388," ")</f>
        <v xml:space="preserve"> </v>
      </c>
      <c r="R394" s="34" t="str">
        <f>IF(A394&lt;0,'CAR PROMAX FILIAL CRUZ'!V388," ")</f>
        <v xml:space="preserve"> </v>
      </c>
    </row>
    <row r="395" spans="1:18" x14ac:dyDescent="0.25">
      <c r="A395">
        <f>'CAR PROMAX FILIAL CRUZ'!O389</f>
        <v>0</v>
      </c>
      <c r="B395" s="33" t="str">
        <f t="shared" si="13"/>
        <v xml:space="preserve"> </v>
      </c>
      <c r="C395" s="33" t="str">
        <f t="shared" si="14"/>
        <v xml:space="preserve"> </v>
      </c>
      <c r="D395" s="34" t="str">
        <f>IF(A395&lt;0,'CAR PROMAX FILIAL CRUZ'!B389," ")</f>
        <v xml:space="preserve"> </v>
      </c>
      <c r="E395" s="35" t="str">
        <f>IF(A395&lt;0,'CAR PROMAX FILIAL CRUZ'!C389," ")</f>
        <v xml:space="preserve"> </v>
      </c>
      <c r="F395" s="34" t="str">
        <f>IF(A395&lt;0,'CAR PROMAX FILIAL CRUZ'!D389," ")</f>
        <v xml:space="preserve"> </v>
      </c>
      <c r="G395" s="34" t="str">
        <f>IF(A395&lt;0,'CAR PROMAX FILIAL CRUZ'!E389," ")</f>
        <v xml:space="preserve"> </v>
      </c>
      <c r="H395" s="34" t="str">
        <f>IF(A395&lt;0,'CAR PROMAX FILIAL CRUZ'!J389," ")</f>
        <v xml:space="preserve"> </v>
      </c>
      <c r="I395" s="34"/>
      <c r="J395" s="34"/>
      <c r="K395" s="34" t="str">
        <f>IF(A395&lt;0,'CAR PROMAX FILIAL CRUZ'!O389," ")</f>
        <v xml:space="preserve"> </v>
      </c>
      <c r="L395" s="36" t="str">
        <f>IF(A395&lt;0,'CAR PROMAX FILIAL CRUZ'!P389," ")</f>
        <v xml:space="preserve"> </v>
      </c>
      <c r="M395" s="36" t="str">
        <f>IF(A395&lt;0,'CAR PROMAX FILIAL CRUZ'!Q389," ")</f>
        <v xml:space="preserve"> </v>
      </c>
      <c r="N395" s="36" t="str">
        <f>IF(A395&lt;0,'CAR PROMAX FILIAL CRUZ'!R389," ")</f>
        <v xml:space="preserve"> </v>
      </c>
      <c r="O395" s="37" t="str">
        <f>IF(A395&lt;0,'CAR PROMAX FILIAL CRUZ'!S389," ")</f>
        <v xml:space="preserve"> </v>
      </c>
      <c r="P395" s="37" t="str">
        <f>IF(A395&lt;0,'CAR PROMAX FILIAL CRUZ'!T389," ")</f>
        <v xml:space="preserve"> </v>
      </c>
      <c r="Q395" s="37" t="str">
        <f>IF(A395&lt;0,'CAR PROMAX FILIAL CRUZ'!U389," ")</f>
        <v xml:space="preserve"> </v>
      </c>
      <c r="R395" s="34" t="str">
        <f>IF(A395&lt;0,'CAR PROMAX FILIAL CRUZ'!V389," ")</f>
        <v xml:space="preserve"> </v>
      </c>
    </row>
    <row r="396" spans="1:18" x14ac:dyDescent="0.25">
      <c r="A396">
        <f>'CAR PROMAX FILIAL CRUZ'!O390</f>
        <v>0</v>
      </c>
      <c r="B396" s="33" t="str">
        <f t="shared" si="13"/>
        <v xml:space="preserve"> </v>
      </c>
      <c r="C396" s="33" t="str">
        <f t="shared" si="14"/>
        <v xml:space="preserve"> </v>
      </c>
      <c r="D396" s="34" t="str">
        <f>IF(A396&lt;0,'CAR PROMAX FILIAL CRUZ'!B390," ")</f>
        <v xml:space="preserve"> </v>
      </c>
      <c r="E396" s="35" t="str">
        <f>IF(A396&lt;0,'CAR PROMAX FILIAL CRUZ'!C390," ")</f>
        <v xml:space="preserve"> </v>
      </c>
      <c r="F396" s="34" t="str">
        <f>IF(A396&lt;0,'CAR PROMAX FILIAL CRUZ'!D390," ")</f>
        <v xml:space="preserve"> </v>
      </c>
      <c r="G396" s="34" t="str">
        <f>IF(A396&lt;0,'CAR PROMAX FILIAL CRUZ'!E390," ")</f>
        <v xml:space="preserve"> </v>
      </c>
      <c r="H396" s="34" t="str">
        <f>IF(A396&lt;0,'CAR PROMAX FILIAL CRUZ'!J390," ")</f>
        <v xml:space="preserve"> </v>
      </c>
      <c r="I396" s="34"/>
      <c r="J396" s="34"/>
      <c r="K396" s="34" t="str">
        <f>IF(A396&lt;0,'CAR PROMAX FILIAL CRUZ'!O390," ")</f>
        <v xml:space="preserve"> </v>
      </c>
      <c r="L396" s="36" t="str">
        <f>IF(A396&lt;0,'CAR PROMAX FILIAL CRUZ'!P390," ")</f>
        <v xml:space="preserve"> </v>
      </c>
      <c r="M396" s="36" t="str">
        <f>IF(A396&lt;0,'CAR PROMAX FILIAL CRUZ'!Q390," ")</f>
        <v xml:space="preserve"> </v>
      </c>
      <c r="N396" s="36" t="str">
        <f>IF(A396&lt;0,'CAR PROMAX FILIAL CRUZ'!R390," ")</f>
        <v xml:space="preserve"> </v>
      </c>
      <c r="O396" s="37" t="str">
        <f>IF(A396&lt;0,'CAR PROMAX FILIAL CRUZ'!S390," ")</f>
        <v xml:space="preserve"> </v>
      </c>
      <c r="P396" s="37" t="str">
        <f>IF(A396&lt;0,'CAR PROMAX FILIAL CRUZ'!T390," ")</f>
        <v xml:space="preserve"> </v>
      </c>
      <c r="Q396" s="37" t="str">
        <f>IF(A396&lt;0,'CAR PROMAX FILIAL CRUZ'!U390," ")</f>
        <v xml:space="preserve"> </v>
      </c>
      <c r="R396" s="34" t="str">
        <f>IF(A396&lt;0,'CAR PROMAX FILIAL CRUZ'!V390," ")</f>
        <v xml:space="preserve"> </v>
      </c>
    </row>
    <row r="397" spans="1:18" x14ac:dyDescent="0.25">
      <c r="A397">
        <f>'CAR PROMAX FILIAL CRUZ'!O391</f>
        <v>0</v>
      </c>
      <c r="B397" s="33" t="str">
        <f t="shared" si="13"/>
        <v xml:space="preserve"> </v>
      </c>
      <c r="C397" s="33" t="str">
        <f t="shared" si="14"/>
        <v xml:space="preserve"> </v>
      </c>
      <c r="D397" s="34" t="str">
        <f>IF(A397&lt;0,'CAR PROMAX FILIAL CRUZ'!B391," ")</f>
        <v xml:space="preserve"> </v>
      </c>
      <c r="E397" s="35" t="str">
        <f>IF(A397&lt;0,'CAR PROMAX FILIAL CRUZ'!C391," ")</f>
        <v xml:space="preserve"> </v>
      </c>
      <c r="F397" s="34" t="str">
        <f>IF(A397&lt;0,'CAR PROMAX FILIAL CRUZ'!D391," ")</f>
        <v xml:space="preserve"> </v>
      </c>
      <c r="G397" s="34" t="str">
        <f>IF(A397&lt;0,'CAR PROMAX FILIAL CRUZ'!E391," ")</f>
        <v xml:space="preserve"> </v>
      </c>
      <c r="H397" s="34" t="str">
        <f>IF(A397&lt;0,'CAR PROMAX FILIAL CRUZ'!J391," ")</f>
        <v xml:space="preserve"> </v>
      </c>
      <c r="I397" s="34"/>
      <c r="J397" s="34"/>
      <c r="K397" s="34" t="str">
        <f>IF(A397&lt;0,'CAR PROMAX FILIAL CRUZ'!O391," ")</f>
        <v xml:space="preserve"> </v>
      </c>
      <c r="L397" s="36" t="str">
        <f>IF(A397&lt;0,'CAR PROMAX FILIAL CRUZ'!P391," ")</f>
        <v xml:space="preserve"> </v>
      </c>
      <c r="M397" s="36" t="str">
        <f>IF(A397&lt;0,'CAR PROMAX FILIAL CRUZ'!Q391," ")</f>
        <v xml:space="preserve"> </v>
      </c>
      <c r="N397" s="36" t="str">
        <f>IF(A397&lt;0,'CAR PROMAX FILIAL CRUZ'!R391," ")</f>
        <v xml:space="preserve"> </v>
      </c>
      <c r="O397" s="37" t="str">
        <f>IF(A397&lt;0,'CAR PROMAX FILIAL CRUZ'!S391," ")</f>
        <v xml:space="preserve"> </v>
      </c>
      <c r="P397" s="37" t="str">
        <f>IF(A397&lt;0,'CAR PROMAX FILIAL CRUZ'!T391," ")</f>
        <v xml:space="preserve"> </v>
      </c>
      <c r="Q397" s="37" t="str">
        <f>IF(A397&lt;0,'CAR PROMAX FILIAL CRUZ'!U391," ")</f>
        <v xml:space="preserve"> </v>
      </c>
      <c r="R397" s="34" t="str">
        <f>IF(A397&lt;0,'CAR PROMAX FILIAL CRUZ'!V391," ")</f>
        <v xml:space="preserve"> </v>
      </c>
    </row>
    <row r="398" spans="1:18" x14ac:dyDescent="0.25">
      <c r="A398">
        <f>'CAR PROMAX FILIAL CRUZ'!O392</f>
        <v>0</v>
      </c>
      <c r="B398" s="33" t="str">
        <f t="shared" ref="B398:B461" si="15">IF(K398&lt;0,IF(K398&gt;-31,"INAD.",IF(K398&gt;-75,"IREC.","PDD"))," ")</f>
        <v xml:space="preserve"> </v>
      </c>
      <c r="C398" s="33" t="str">
        <f t="shared" si="14"/>
        <v xml:space="preserve"> </v>
      </c>
      <c r="D398" s="34" t="str">
        <f>IF(A398&lt;0,'CAR PROMAX FILIAL CRUZ'!B392," ")</f>
        <v xml:space="preserve"> </v>
      </c>
      <c r="E398" s="35" t="str">
        <f>IF(A398&lt;0,'CAR PROMAX FILIAL CRUZ'!C392," ")</f>
        <v xml:space="preserve"> </v>
      </c>
      <c r="F398" s="34" t="str">
        <f>IF(A398&lt;0,'CAR PROMAX FILIAL CRUZ'!D392," ")</f>
        <v xml:space="preserve"> </v>
      </c>
      <c r="G398" s="34" t="str">
        <f>IF(A398&lt;0,'CAR PROMAX FILIAL CRUZ'!E392," ")</f>
        <v xml:space="preserve"> </v>
      </c>
      <c r="H398" s="34" t="str">
        <f>IF(A398&lt;0,'CAR PROMAX FILIAL CRUZ'!J392," ")</f>
        <v xml:space="preserve"> </v>
      </c>
      <c r="I398" s="34"/>
      <c r="J398" s="34"/>
      <c r="K398" s="34" t="str">
        <f>IF(A398&lt;0,'CAR PROMAX FILIAL CRUZ'!O392," ")</f>
        <v xml:space="preserve"> </v>
      </c>
      <c r="L398" s="36" t="str">
        <f>IF(A398&lt;0,'CAR PROMAX FILIAL CRUZ'!P392," ")</f>
        <v xml:space="preserve"> </v>
      </c>
      <c r="M398" s="36" t="str">
        <f>IF(A398&lt;0,'CAR PROMAX FILIAL CRUZ'!Q392," ")</f>
        <v xml:space="preserve"> </v>
      </c>
      <c r="N398" s="36" t="str">
        <f>IF(A398&lt;0,'CAR PROMAX FILIAL CRUZ'!R392," ")</f>
        <v xml:space="preserve"> </v>
      </c>
      <c r="O398" s="37" t="str">
        <f>IF(A398&lt;0,'CAR PROMAX FILIAL CRUZ'!S392," ")</f>
        <v xml:space="preserve"> </v>
      </c>
      <c r="P398" s="37" t="str">
        <f>IF(A398&lt;0,'CAR PROMAX FILIAL CRUZ'!T392," ")</f>
        <v xml:space="preserve"> </v>
      </c>
      <c r="Q398" s="37" t="str">
        <f>IF(A398&lt;0,'CAR PROMAX FILIAL CRUZ'!U392," ")</f>
        <v xml:space="preserve"> </v>
      </c>
      <c r="R398" s="34" t="str">
        <f>IF(A398&lt;0,'CAR PROMAX FILIAL CRUZ'!V392," ")</f>
        <v xml:space="preserve"> </v>
      </c>
    </row>
    <row r="399" spans="1:18" x14ac:dyDescent="0.25">
      <c r="A399">
        <f>'CAR PROMAX FILIAL CRUZ'!O393</f>
        <v>0</v>
      </c>
      <c r="B399" s="33" t="str">
        <f t="shared" si="15"/>
        <v xml:space="preserve"> </v>
      </c>
      <c r="C399" s="33" t="str">
        <f t="shared" si="14"/>
        <v xml:space="preserve"> </v>
      </c>
      <c r="D399" s="34" t="str">
        <f>IF(A399&lt;0,'CAR PROMAX FILIAL CRUZ'!B393," ")</f>
        <v xml:space="preserve"> </v>
      </c>
      <c r="E399" s="35" t="str">
        <f>IF(A399&lt;0,'CAR PROMAX FILIAL CRUZ'!C393," ")</f>
        <v xml:space="preserve"> </v>
      </c>
      <c r="F399" s="34" t="str">
        <f>IF(A399&lt;0,'CAR PROMAX FILIAL CRUZ'!D393," ")</f>
        <v xml:space="preserve"> </v>
      </c>
      <c r="G399" s="34" t="str">
        <f>IF(A399&lt;0,'CAR PROMAX FILIAL CRUZ'!E393," ")</f>
        <v xml:space="preserve"> </v>
      </c>
      <c r="H399" s="34" t="str">
        <f>IF(A399&lt;0,'CAR PROMAX FILIAL CRUZ'!J393," ")</f>
        <v xml:space="preserve"> </v>
      </c>
      <c r="I399" s="34"/>
      <c r="J399" s="34"/>
      <c r="K399" s="34" t="str">
        <f>IF(A399&lt;0,'CAR PROMAX FILIAL CRUZ'!O393," ")</f>
        <v xml:space="preserve"> </v>
      </c>
      <c r="L399" s="36" t="str">
        <f>IF(A399&lt;0,'CAR PROMAX FILIAL CRUZ'!P393," ")</f>
        <v xml:space="preserve"> </v>
      </c>
      <c r="M399" s="36" t="str">
        <f>IF(A399&lt;0,'CAR PROMAX FILIAL CRUZ'!Q393," ")</f>
        <v xml:space="preserve"> </v>
      </c>
      <c r="N399" s="36" t="str">
        <f>IF(A399&lt;0,'CAR PROMAX FILIAL CRUZ'!R393," ")</f>
        <v xml:space="preserve"> </v>
      </c>
      <c r="O399" s="37" t="str">
        <f>IF(A399&lt;0,'CAR PROMAX FILIAL CRUZ'!S393," ")</f>
        <v xml:space="preserve"> </v>
      </c>
      <c r="P399" s="37" t="str">
        <f>IF(A399&lt;0,'CAR PROMAX FILIAL CRUZ'!T393," ")</f>
        <v xml:space="preserve"> </v>
      </c>
      <c r="Q399" s="37" t="str">
        <f>IF(A399&lt;0,'CAR PROMAX FILIAL CRUZ'!U393," ")</f>
        <v xml:space="preserve"> </v>
      </c>
      <c r="R399" s="34" t="str">
        <f>IF(A399&lt;0,'CAR PROMAX FILIAL CRUZ'!V393," ")</f>
        <v xml:space="preserve"> </v>
      </c>
    </row>
    <row r="400" spans="1:18" x14ac:dyDescent="0.25">
      <c r="A400">
        <f>'CAR PROMAX FILIAL CRUZ'!O394</f>
        <v>0</v>
      </c>
      <c r="B400" s="33" t="str">
        <f t="shared" si="15"/>
        <v xml:space="preserve"> </v>
      </c>
      <c r="C400" s="33" t="str">
        <f t="shared" si="14"/>
        <v xml:space="preserve"> </v>
      </c>
      <c r="D400" s="34" t="str">
        <f>IF(A400&lt;0,'CAR PROMAX FILIAL CRUZ'!B394," ")</f>
        <v xml:space="preserve"> </v>
      </c>
      <c r="E400" s="35" t="str">
        <f>IF(A400&lt;0,'CAR PROMAX FILIAL CRUZ'!C394," ")</f>
        <v xml:space="preserve"> </v>
      </c>
      <c r="F400" s="34" t="str">
        <f>IF(A400&lt;0,'CAR PROMAX FILIAL CRUZ'!D394," ")</f>
        <v xml:space="preserve"> </v>
      </c>
      <c r="G400" s="34" t="str">
        <f>IF(A400&lt;0,'CAR PROMAX FILIAL CRUZ'!E394," ")</f>
        <v xml:space="preserve"> </v>
      </c>
      <c r="H400" s="34" t="str">
        <f>IF(A400&lt;0,'CAR PROMAX FILIAL CRUZ'!J394," ")</f>
        <v xml:space="preserve"> </v>
      </c>
      <c r="I400" s="34"/>
      <c r="J400" s="34"/>
      <c r="K400" s="34" t="str">
        <f>IF(A400&lt;0,'CAR PROMAX FILIAL CRUZ'!O394," ")</f>
        <v xml:space="preserve"> </v>
      </c>
      <c r="L400" s="36" t="str">
        <f>IF(A400&lt;0,'CAR PROMAX FILIAL CRUZ'!P394," ")</f>
        <v xml:space="preserve"> </v>
      </c>
      <c r="M400" s="36" t="str">
        <f>IF(A400&lt;0,'CAR PROMAX FILIAL CRUZ'!Q394," ")</f>
        <v xml:space="preserve"> </v>
      </c>
      <c r="N400" s="36" t="str">
        <f>IF(A400&lt;0,'CAR PROMAX FILIAL CRUZ'!R394," ")</f>
        <v xml:space="preserve"> </v>
      </c>
      <c r="O400" s="37" t="str">
        <f>IF(A400&lt;0,'CAR PROMAX FILIAL CRUZ'!S394," ")</f>
        <v xml:space="preserve"> </v>
      </c>
      <c r="P400" s="37" t="str">
        <f>IF(A400&lt;0,'CAR PROMAX FILIAL CRUZ'!T394," ")</f>
        <v xml:space="preserve"> </v>
      </c>
      <c r="Q400" s="37" t="str">
        <f>IF(A400&lt;0,'CAR PROMAX FILIAL CRUZ'!U394," ")</f>
        <v xml:space="preserve"> </v>
      </c>
      <c r="R400" s="34" t="str">
        <f>IF(A400&lt;0,'CAR PROMAX FILIAL CRUZ'!V394," ")</f>
        <v xml:space="preserve"> </v>
      </c>
    </row>
    <row r="401" spans="1:18" x14ac:dyDescent="0.25">
      <c r="A401">
        <f>'CAR PROMAX FILIAL CRUZ'!O395</f>
        <v>0</v>
      </c>
      <c r="B401" s="33" t="str">
        <f t="shared" si="15"/>
        <v xml:space="preserve"> </v>
      </c>
      <c r="C401" s="33" t="str">
        <f t="shared" si="14"/>
        <v xml:space="preserve"> </v>
      </c>
      <c r="D401" s="34" t="str">
        <f>IF(A401&lt;0,'CAR PROMAX FILIAL CRUZ'!B395," ")</f>
        <v xml:space="preserve"> </v>
      </c>
      <c r="E401" s="35" t="str">
        <f>IF(A401&lt;0,'CAR PROMAX FILIAL CRUZ'!C395," ")</f>
        <v xml:space="preserve"> </v>
      </c>
      <c r="F401" s="34" t="str">
        <f>IF(A401&lt;0,'CAR PROMAX FILIAL CRUZ'!D395," ")</f>
        <v xml:space="preserve"> </v>
      </c>
      <c r="G401" s="34" t="str">
        <f>IF(A401&lt;0,'CAR PROMAX FILIAL CRUZ'!E395," ")</f>
        <v xml:space="preserve"> </v>
      </c>
      <c r="H401" s="34" t="str">
        <f>IF(A401&lt;0,'CAR PROMAX FILIAL CRUZ'!J395," ")</f>
        <v xml:space="preserve"> </v>
      </c>
      <c r="I401" s="34"/>
      <c r="J401" s="34"/>
      <c r="K401" s="34" t="str">
        <f>IF(A401&lt;0,'CAR PROMAX FILIAL CRUZ'!O395," ")</f>
        <v xml:space="preserve"> </v>
      </c>
      <c r="L401" s="36" t="str">
        <f>IF(A401&lt;0,'CAR PROMAX FILIAL CRUZ'!P395," ")</f>
        <v xml:space="preserve"> </v>
      </c>
      <c r="M401" s="36" t="str">
        <f>IF(A401&lt;0,'CAR PROMAX FILIAL CRUZ'!Q395," ")</f>
        <v xml:space="preserve"> </v>
      </c>
      <c r="N401" s="36" t="str">
        <f>IF(A401&lt;0,'CAR PROMAX FILIAL CRUZ'!R395," ")</f>
        <v xml:space="preserve"> </v>
      </c>
      <c r="O401" s="37" t="str">
        <f>IF(A401&lt;0,'CAR PROMAX FILIAL CRUZ'!S395," ")</f>
        <v xml:space="preserve"> </v>
      </c>
      <c r="P401" s="37" t="str">
        <f>IF(A401&lt;0,'CAR PROMAX FILIAL CRUZ'!T395," ")</f>
        <v xml:space="preserve"> </v>
      </c>
      <c r="Q401" s="37" t="str">
        <f>IF(A401&lt;0,'CAR PROMAX FILIAL CRUZ'!U395," ")</f>
        <v xml:space="preserve"> </v>
      </c>
      <c r="R401" s="34" t="str">
        <f>IF(A401&lt;0,'CAR PROMAX FILIAL CRUZ'!V395," ")</f>
        <v xml:space="preserve"> </v>
      </c>
    </row>
    <row r="402" spans="1:18" x14ac:dyDescent="0.25">
      <c r="A402">
        <f>'CAR PROMAX FILIAL CRUZ'!O396</f>
        <v>0</v>
      </c>
      <c r="B402" s="33" t="str">
        <f t="shared" si="15"/>
        <v xml:space="preserve"> </v>
      </c>
      <c r="C402" s="33" t="str">
        <f t="shared" si="14"/>
        <v xml:space="preserve"> </v>
      </c>
      <c r="D402" s="34" t="str">
        <f>IF(A402&lt;0,'CAR PROMAX FILIAL CRUZ'!B396," ")</f>
        <v xml:space="preserve"> </v>
      </c>
      <c r="E402" s="35" t="str">
        <f>IF(A402&lt;0,'CAR PROMAX FILIAL CRUZ'!C396," ")</f>
        <v xml:space="preserve"> </v>
      </c>
      <c r="F402" s="34" t="str">
        <f>IF(A402&lt;0,'CAR PROMAX FILIAL CRUZ'!D396," ")</f>
        <v xml:space="preserve"> </v>
      </c>
      <c r="G402" s="34" t="str">
        <f>IF(A402&lt;0,'CAR PROMAX FILIAL CRUZ'!E396," ")</f>
        <v xml:space="preserve"> </v>
      </c>
      <c r="H402" s="34" t="str">
        <f>IF(A402&lt;0,'CAR PROMAX FILIAL CRUZ'!J396," ")</f>
        <v xml:space="preserve"> </v>
      </c>
      <c r="I402" s="34"/>
      <c r="J402" s="34"/>
      <c r="K402" s="34" t="str">
        <f>IF(A402&lt;0,'CAR PROMAX FILIAL CRUZ'!O396," ")</f>
        <v xml:space="preserve"> </v>
      </c>
      <c r="L402" s="36" t="str">
        <f>IF(A402&lt;0,'CAR PROMAX FILIAL CRUZ'!P396," ")</f>
        <v xml:space="preserve"> </v>
      </c>
      <c r="M402" s="36" t="str">
        <f>IF(A402&lt;0,'CAR PROMAX FILIAL CRUZ'!Q396," ")</f>
        <v xml:space="preserve"> </v>
      </c>
      <c r="N402" s="36" t="str">
        <f>IF(A402&lt;0,'CAR PROMAX FILIAL CRUZ'!R396," ")</f>
        <v xml:space="preserve"> </v>
      </c>
      <c r="O402" s="37" t="str">
        <f>IF(A402&lt;0,'CAR PROMAX FILIAL CRUZ'!S396," ")</f>
        <v xml:space="preserve"> </v>
      </c>
      <c r="P402" s="37" t="str">
        <f>IF(A402&lt;0,'CAR PROMAX FILIAL CRUZ'!T396," ")</f>
        <v xml:space="preserve"> </v>
      </c>
      <c r="Q402" s="37" t="str">
        <f>IF(A402&lt;0,'CAR PROMAX FILIAL CRUZ'!U396," ")</f>
        <v xml:space="preserve"> </v>
      </c>
      <c r="R402" s="34" t="str">
        <f>IF(A402&lt;0,'CAR PROMAX FILIAL CRUZ'!V396," ")</f>
        <v xml:space="preserve"> </v>
      </c>
    </row>
    <row r="403" spans="1:18" x14ac:dyDescent="0.25">
      <c r="A403">
        <f>'CAR PROMAX FILIAL CRUZ'!O397</f>
        <v>0</v>
      </c>
      <c r="B403" s="33" t="str">
        <f t="shared" si="15"/>
        <v xml:space="preserve"> </v>
      </c>
      <c r="C403" s="33" t="str">
        <f t="shared" si="14"/>
        <v xml:space="preserve"> </v>
      </c>
      <c r="D403" s="34" t="str">
        <f>IF(A403&lt;0,'CAR PROMAX FILIAL CRUZ'!B397," ")</f>
        <v xml:space="preserve"> </v>
      </c>
      <c r="E403" s="35" t="str">
        <f>IF(A403&lt;0,'CAR PROMAX FILIAL CRUZ'!C397," ")</f>
        <v xml:space="preserve"> </v>
      </c>
      <c r="F403" s="34" t="str">
        <f>IF(A403&lt;0,'CAR PROMAX FILIAL CRUZ'!D397," ")</f>
        <v xml:space="preserve"> </v>
      </c>
      <c r="G403" s="34" t="str">
        <f>IF(A403&lt;0,'CAR PROMAX FILIAL CRUZ'!E397," ")</f>
        <v xml:space="preserve"> </v>
      </c>
      <c r="H403" s="34" t="str">
        <f>IF(A403&lt;0,'CAR PROMAX FILIAL CRUZ'!J397," ")</f>
        <v xml:space="preserve"> </v>
      </c>
      <c r="I403" s="34"/>
      <c r="J403" s="34"/>
      <c r="K403" s="34" t="str">
        <f>IF(A403&lt;0,'CAR PROMAX FILIAL CRUZ'!O397," ")</f>
        <v xml:space="preserve"> </v>
      </c>
      <c r="L403" s="36" t="str">
        <f>IF(A403&lt;0,'CAR PROMAX FILIAL CRUZ'!P397," ")</f>
        <v xml:space="preserve"> </v>
      </c>
      <c r="M403" s="36" t="str">
        <f>IF(A403&lt;0,'CAR PROMAX FILIAL CRUZ'!Q397," ")</f>
        <v xml:space="preserve"> </v>
      </c>
      <c r="N403" s="36" t="str">
        <f>IF(A403&lt;0,'CAR PROMAX FILIAL CRUZ'!R397," ")</f>
        <v xml:space="preserve"> </v>
      </c>
      <c r="O403" s="37" t="str">
        <f>IF(A403&lt;0,'CAR PROMAX FILIAL CRUZ'!S397," ")</f>
        <v xml:space="preserve"> </v>
      </c>
      <c r="P403" s="37" t="str">
        <f>IF(A403&lt;0,'CAR PROMAX FILIAL CRUZ'!T397," ")</f>
        <v xml:space="preserve"> </v>
      </c>
      <c r="Q403" s="37" t="str">
        <f>IF(A403&lt;0,'CAR PROMAX FILIAL CRUZ'!U397," ")</f>
        <v xml:space="preserve"> </v>
      </c>
      <c r="R403" s="34" t="str">
        <f>IF(A403&lt;0,'CAR PROMAX FILIAL CRUZ'!V397," ")</f>
        <v xml:space="preserve"> </v>
      </c>
    </row>
    <row r="404" spans="1:18" x14ac:dyDescent="0.25">
      <c r="A404">
        <f>'CAR PROMAX FILIAL CRUZ'!O398</f>
        <v>0</v>
      </c>
      <c r="B404" s="33" t="str">
        <f t="shared" si="15"/>
        <v xml:space="preserve"> </v>
      </c>
      <c r="C404" s="33" t="str">
        <f t="shared" si="14"/>
        <v xml:space="preserve"> </v>
      </c>
      <c r="D404" s="34" t="str">
        <f>IF(A404&lt;0,'CAR PROMAX FILIAL CRUZ'!B398," ")</f>
        <v xml:space="preserve"> </v>
      </c>
      <c r="E404" s="35" t="str">
        <f>IF(A404&lt;0,'CAR PROMAX FILIAL CRUZ'!C398," ")</f>
        <v xml:space="preserve"> </v>
      </c>
      <c r="F404" s="34" t="str">
        <f>IF(A404&lt;0,'CAR PROMAX FILIAL CRUZ'!D398," ")</f>
        <v xml:space="preserve"> </v>
      </c>
      <c r="G404" s="34" t="str">
        <f>IF(A404&lt;0,'CAR PROMAX FILIAL CRUZ'!E398," ")</f>
        <v xml:space="preserve"> </v>
      </c>
      <c r="H404" s="34" t="str">
        <f>IF(A404&lt;0,'CAR PROMAX FILIAL CRUZ'!J398," ")</f>
        <v xml:space="preserve"> </v>
      </c>
      <c r="I404" s="34"/>
      <c r="J404" s="34"/>
      <c r="K404" s="34" t="str">
        <f>IF(A404&lt;0,'CAR PROMAX FILIAL CRUZ'!O398," ")</f>
        <v xml:space="preserve"> </v>
      </c>
      <c r="L404" s="36" t="str">
        <f>IF(A404&lt;0,'CAR PROMAX FILIAL CRUZ'!P398," ")</f>
        <v xml:space="preserve"> </v>
      </c>
      <c r="M404" s="36" t="str">
        <f>IF(A404&lt;0,'CAR PROMAX FILIAL CRUZ'!Q398," ")</f>
        <v xml:space="preserve"> </v>
      </c>
      <c r="N404" s="36" t="str">
        <f>IF(A404&lt;0,'CAR PROMAX FILIAL CRUZ'!R398," ")</f>
        <v xml:space="preserve"> </v>
      </c>
      <c r="O404" s="37" t="str">
        <f>IF(A404&lt;0,'CAR PROMAX FILIAL CRUZ'!S398," ")</f>
        <v xml:space="preserve"> </v>
      </c>
      <c r="P404" s="37" t="str">
        <f>IF(A404&lt;0,'CAR PROMAX FILIAL CRUZ'!T398," ")</f>
        <v xml:space="preserve"> </v>
      </c>
      <c r="Q404" s="37" t="str">
        <f>IF(A404&lt;0,'CAR PROMAX FILIAL CRUZ'!U398," ")</f>
        <v xml:space="preserve"> </v>
      </c>
      <c r="R404" s="34" t="str">
        <f>IF(A404&lt;0,'CAR PROMAX FILIAL CRUZ'!V398," ")</f>
        <v xml:space="preserve"> </v>
      </c>
    </row>
    <row r="405" spans="1:18" x14ac:dyDescent="0.25">
      <c r="A405">
        <f>'CAR PROMAX FILIAL CRUZ'!O399</f>
        <v>0</v>
      </c>
      <c r="B405" s="33" t="str">
        <f t="shared" si="15"/>
        <v xml:space="preserve"> </v>
      </c>
      <c r="C405" s="33" t="str">
        <f t="shared" si="14"/>
        <v xml:space="preserve"> </v>
      </c>
      <c r="D405" s="34" t="str">
        <f>IF(A405&lt;0,'CAR PROMAX FILIAL CRUZ'!B399," ")</f>
        <v xml:space="preserve"> </v>
      </c>
      <c r="E405" s="35" t="str">
        <f>IF(A405&lt;0,'CAR PROMAX FILIAL CRUZ'!C399," ")</f>
        <v xml:space="preserve"> </v>
      </c>
      <c r="F405" s="34" t="str">
        <f>IF(A405&lt;0,'CAR PROMAX FILIAL CRUZ'!D399," ")</f>
        <v xml:space="preserve"> </v>
      </c>
      <c r="G405" s="34" t="str">
        <f>IF(A405&lt;0,'CAR PROMAX FILIAL CRUZ'!E399," ")</f>
        <v xml:space="preserve"> </v>
      </c>
      <c r="H405" s="34" t="str">
        <f>IF(A405&lt;0,'CAR PROMAX FILIAL CRUZ'!J399," ")</f>
        <v xml:space="preserve"> </v>
      </c>
      <c r="I405" s="34"/>
      <c r="J405" s="34"/>
      <c r="K405" s="34" t="str">
        <f>IF(A405&lt;0,'CAR PROMAX FILIAL CRUZ'!O399," ")</f>
        <v xml:space="preserve"> </v>
      </c>
      <c r="L405" s="36" t="str">
        <f>IF(A405&lt;0,'CAR PROMAX FILIAL CRUZ'!P399," ")</f>
        <v xml:space="preserve"> </v>
      </c>
      <c r="M405" s="36" t="str">
        <f>IF(A405&lt;0,'CAR PROMAX FILIAL CRUZ'!Q399," ")</f>
        <v xml:space="preserve"> </v>
      </c>
      <c r="N405" s="36" t="str">
        <f>IF(A405&lt;0,'CAR PROMAX FILIAL CRUZ'!R399," ")</f>
        <v xml:space="preserve"> </v>
      </c>
      <c r="O405" s="37" t="str">
        <f>IF(A405&lt;0,'CAR PROMAX FILIAL CRUZ'!S399," ")</f>
        <v xml:space="preserve"> </v>
      </c>
      <c r="P405" s="37" t="str">
        <f>IF(A405&lt;0,'CAR PROMAX FILIAL CRUZ'!T399," ")</f>
        <v xml:space="preserve"> </v>
      </c>
      <c r="Q405" s="37" t="str">
        <f>IF(A405&lt;0,'CAR PROMAX FILIAL CRUZ'!U399," ")</f>
        <v xml:space="preserve"> </v>
      </c>
      <c r="R405" s="34" t="str">
        <f>IF(A405&lt;0,'CAR PROMAX FILIAL CRUZ'!V399," ")</f>
        <v xml:space="preserve"> </v>
      </c>
    </row>
    <row r="406" spans="1:18" x14ac:dyDescent="0.25">
      <c r="A406">
        <f>'CAR PROMAX FILIAL CRUZ'!O400</f>
        <v>0</v>
      </c>
      <c r="B406" s="33" t="str">
        <f t="shared" si="15"/>
        <v xml:space="preserve"> </v>
      </c>
      <c r="C406" s="33" t="str">
        <f t="shared" si="14"/>
        <v xml:space="preserve"> </v>
      </c>
      <c r="D406" s="34" t="str">
        <f>IF(A406&lt;0,'CAR PROMAX FILIAL CRUZ'!B400," ")</f>
        <v xml:space="preserve"> </v>
      </c>
      <c r="E406" s="35" t="str">
        <f>IF(A406&lt;0,'CAR PROMAX FILIAL CRUZ'!C400," ")</f>
        <v xml:space="preserve"> </v>
      </c>
      <c r="F406" s="34" t="str">
        <f>IF(A406&lt;0,'CAR PROMAX FILIAL CRUZ'!D400," ")</f>
        <v xml:space="preserve"> </v>
      </c>
      <c r="G406" s="34" t="str">
        <f>IF(A406&lt;0,'CAR PROMAX FILIAL CRUZ'!E400," ")</f>
        <v xml:space="preserve"> </v>
      </c>
      <c r="H406" s="34" t="str">
        <f>IF(A406&lt;0,'CAR PROMAX FILIAL CRUZ'!J400," ")</f>
        <v xml:space="preserve"> </v>
      </c>
      <c r="I406" s="34"/>
      <c r="J406" s="34"/>
      <c r="K406" s="34" t="str">
        <f>IF(A406&lt;0,'CAR PROMAX FILIAL CRUZ'!O400," ")</f>
        <v xml:space="preserve"> </v>
      </c>
      <c r="L406" s="36" t="str">
        <f>IF(A406&lt;0,'CAR PROMAX FILIAL CRUZ'!P400," ")</f>
        <v xml:space="preserve"> </v>
      </c>
      <c r="M406" s="36" t="str">
        <f>IF(A406&lt;0,'CAR PROMAX FILIAL CRUZ'!Q400," ")</f>
        <v xml:space="preserve"> </v>
      </c>
      <c r="N406" s="36" t="str">
        <f>IF(A406&lt;0,'CAR PROMAX FILIAL CRUZ'!R400," ")</f>
        <v xml:space="preserve"> </v>
      </c>
      <c r="O406" s="37" t="str">
        <f>IF(A406&lt;0,'CAR PROMAX FILIAL CRUZ'!S400," ")</f>
        <v xml:space="preserve"> </v>
      </c>
      <c r="P406" s="37" t="str">
        <f>IF(A406&lt;0,'CAR PROMAX FILIAL CRUZ'!T400," ")</f>
        <v xml:space="preserve"> </v>
      </c>
      <c r="Q406" s="37" t="str">
        <f>IF(A406&lt;0,'CAR PROMAX FILIAL CRUZ'!U400," ")</f>
        <v xml:space="preserve"> </v>
      </c>
      <c r="R406" s="34" t="str">
        <f>IF(A406&lt;0,'CAR PROMAX FILIAL CRUZ'!V400," ")</f>
        <v xml:space="preserve"> </v>
      </c>
    </row>
    <row r="407" spans="1:18" x14ac:dyDescent="0.25">
      <c r="A407">
        <f>'CAR PROMAX FILIAL CRUZ'!O401</f>
        <v>0</v>
      </c>
      <c r="B407" s="33" t="str">
        <f t="shared" si="15"/>
        <v xml:space="preserve"> </v>
      </c>
      <c r="C407" s="33" t="str">
        <f t="shared" si="14"/>
        <v xml:space="preserve"> </v>
      </c>
      <c r="D407" s="34" t="str">
        <f>IF(A407&lt;0,'CAR PROMAX FILIAL CRUZ'!B401," ")</f>
        <v xml:space="preserve"> </v>
      </c>
      <c r="E407" s="35" t="str">
        <f>IF(A407&lt;0,'CAR PROMAX FILIAL CRUZ'!C401," ")</f>
        <v xml:space="preserve"> </v>
      </c>
      <c r="F407" s="34" t="str">
        <f>IF(A407&lt;0,'CAR PROMAX FILIAL CRUZ'!D401," ")</f>
        <v xml:space="preserve"> </v>
      </c>
      <c r="G407" s="34" t="str">
        <f>IF(A407&lt;0,'CAR PROMAX FILIAL CRUZ'!E401," ")</f>
        <v xml:space="preserve"> </v>
      </c>
      <c r="H407" s="34" t="str">
        <f>IF(A407&lt;0,'CAR PROMAX FILIAL CRUZ'!J401," ")</f>
        <v xml:space="preserve"> </v>
      </c>
      <c r="I407" s="34"/>
      <c r="J407" s="34"/>
      <c r="K407" s="34" t="str">
        <f>IF(A407&lt;0,'CAR PROMAX FILIAL CRUZ'!O401," ")</f>
        <v xml:space="preserve"> </v>
      </c>
      <c r="L407" s="36" t="str">
        <f>IF(A407&lt;0,'CAR PROMAX FILIAL CRUZ'!P401," ")</f>
        <v xml:space="preserve"> </v>
      </c>
      <c r="M407" s="36" t="str">
        <f>IF(A407&lt;0,'CAR PROMAX FILIAL CRUZ'!Q401," ")</f>
        <v xml:space="preserve"> </v>
      </c>
      <c r="N407" s="36" t="str">
        <f>IF(A407&lt;0,'CAR PROMAX FILIAL CRUZ'!R401," ")</f>
        <v xml:space="preserve"> </v>
      </c>
      <c r="O407" s="37" t="str">
        <f>IF(A407&lt;0,'CAR PROMAX FILIAL CRUZ'!S401," ")</f>
        <v xml:space="preserve"> </v>
      </c>
      <c r="P407" s="37" t="str">
        <f>IF(A407&lt;0,'CAR PROMAX FILIAL CRUZ'!T401," ")</f>
        <v xml:space="preserve"> </v>
      </c>
      <c r="Q407" s="37" t="str">
        <f>IF(A407&lt;0,'CAR PROMAX FILIAL CRUZ'!U401," ")</f>
        <v xml:space="preserve"> </v>
      </c>
      <c r="R407" s="34" t="str">
        <f>IF(A407&lt;0,'CAR PROMAX FILIAL CRUZ'!V401," ")</f>
        <v xml:space="preserve"> </v>
      </c>
    </row>
    <row r="408" spans="1:18" x14ac:dyDescent="0.25">
      <c r="A408">
        <f>'CAR PROMAX FILIAL CRUZ'!O402</f>
        <v>0</v>
      </c>
      <c r="B408" s="33" t="str">
        <f t="shared" si="15"/>
        <v xml:space="preserve"> </v>
      </c>
      <c r="C408" s="33" t="str">
        <f t="shared" si="14"/>
        <v xml:space="preserve"> </v>
      </c>
      <c r="D408" s="34" t="str">
        <f>IF(A408&lt;0,'CAR PROMAX FILIAL CRUZ'!B402," ")</f>
        <v xml:space="preserve"> </v>
      </c>
      <c r="E408" s="35" t="str">
        <f>IF(A408&lt;0,'CAR PROMAX FILIAL CRUZ'!C402," ")</f>
        <v xml:space="preserve"> </v>
      </c>
      <c r="F408" s="34" t="str">
        <f>IF(A408&lt;0,'CAR PROMAX FILIAL CRUZ'!D402," ")</f>
        <v xml:space="preserve"> </v>
      </c>
      <c r="G408" s="34" t="str">
        <f>IF(A408&lt;0,'CAR PROMAX FILIAL CRUZ'!E402," ")</f>
        <v xml:space="preserve"> </v>
      </c>
      <c r="H408" s="34" t="str">
        <f>IF(A408&lt;0,'CAR PROMAX FILIAL CRUZ'!J402," ")</f>
        <v xml:space="preserve"> </v>
      </c>
      <c r="I408" s="34"/>
      <c r="J408" s="34"/>
      <c r="K408" s="34" t="str">
        <f>IF(A408&lt;0,'CAR PROMAX FILIAL CRUZ'!O402," ")</f>
        <v xml:space="preserve"> </v>
      </c>
      <c r="L408" s="36" t="str">
        <f>IF(A408&lt;0,'CAR PROMAX FILIAL CRUZ'!P402," ")</f>
        <v xml:space="preserve"> </v>
      </c>
      <c r="M408" s="36" t="str">
        <f>IF(A408&lt;0,'CAR PROMAX FILIAL CRUZ'!Q402," ")</f>
        <v xml:space="preserve"> </v>
      </c>
      <c r="N408" s="36" t="str">
        <f>IF(A408&lt;0,'CAR PROMAX FILIAL CRUZ'!R402," ")</f>
        <v xml:space="preserve"> </v>
      </c>
      <c r="O408" s="37" t="str">
        <f>IF(A408&lt;0,'CAR PROMAX FILIAL CRUZ'!S402," ")</f>
        <v xml:space="preserve"> </v>
      </c>
      <c r="P408" s="37" t="str">
        <f>IF(A408&lt;0,'CAR PROMAX FILIAL CRUZ'!T402," ")</f>
        <v xml:space="preserve"> </v>
      </c>
      <c r="Q408" s="37" t="str">
        <f>IF(A408&lt;0,'CAR PROMAX FILIAL CRUZ'!U402," ")</f>
        <v xml:space="preserve"> </v>
      </c>
      <c r="R408" s="34" t="str">
        <f>IF(A408&lt;0,'CAR PROMAX FILIAL CRUZ'!V402," ")</f>
        <v xml:space="preserve"> </v>
      </c>
    </row>
    <row r="409" spans="1:18" x14ac:dyDescent="0.25">
      <c r="A409">
        <f>'CAR PROMAX FILIAL CRUZ'!O403</f>
        <v>0</v>
      </c>
      <c r="B409" s="33" t="str">
        <f t="shared" si="15"/>
        <v xml:space="preserve"> </v>
      </c>
      <c r="C409" s="33" t="str">
        <f t="shared" si="14"/>
        <v xml:space="preserve"> </v>
      </c>
      <c r="D409" s="34" t="str">
        <f>IF(A409&lt;0,'CAR PROMAX FILIAL CRUZ'!B403," ")</f>
        <v xml:space="preserve"> </v>
      </c>
      <c r="E409" s="35" t="str">
        <f>IF(A409&lt;0,'CAR PROMAX FILIAL CRUZ'!C403," ")</f>
        <v xml:space="preserve"> </v>
      </c>
      <c r="F409" s="34" t="str">
        <f>IF(A409&lt;0,'CAR PROMAX FILIAL CRUZ'!D403," ")</f>
        <v xml:space="preserve"> </v>
      </c>
      <c r="G409" s="34" t="str">
        <f>IF(A409&lt;0,'CAR PROMAX FILIAL CRUZ'!E403," ")</f>
        <v xml:space="preserve"> </v>
      </c>
      <c r="H409" s="34" t="str">
        <f>IF(A409&lt;0,'CAR PROMAX FILIAL CRUZ'!J403," ")</f>
        <v xml:space="preserve"> </v>
      </c>
      <c r="I409" s="34"/>
      <c r="J409" s="34"/>
      <c r="K409" s="34" t="str">
        <f>IF(A409&lt;0,'CAR PROMAX FILIAL CRUZ'!O403," ")</f>
        <v xml:space="preserve"> </v>
      </c>
      <c r="L409" s="36" t="str">
        <f>IF(A409&lt;0,'CAR PROMAX FILIAL CRUZ'!P403," ")</f>
        <v xml:space="preserve"> </v>
      </c>
      <c r="M409" s="36" t="str">
        <f>IF(A409&lt;0,'CAR PROMAX FILIAL CRUZ'!Q403," ")</f>
        <v xml:space="preserve"> </v>
      </c>
      <c r="N409" s="36" t="str">
        <f>IF(A409&lt;0,'CAR PROMAX FILIAL CRUZ'!R403," ")</f>
        <v xml:space="preserve"> </v>
      </c>
      <c r="O409" s="37" t="str">
        <f>IF(A409&lt;0,'CAR PROMAX FILIAL CRUZ'!S403," ")</f>
        <v xml:space="preserve"> </v>
      </c>
      <c r="P409" s="37" t="str">
        <f>IF(A409&lt;0,'CAR PROMAX FILIAL CRUZ'!T403," ")</f>
        <v xml:space="preserve"> </v>
      </c>
      <c r="Q409" s="37" t="str">
        <f>IF(A409&lt;0,'CAR PROMAX FILIAL CRUZ'!U403," ")</f>
        <v xml:space="preserve"> </v>
      </c>
      <c r="R409" s="34" t="str">
        <f>IF(A409&lt;0,'CAR PROMAX FILIAL CRUZ'!V403," ")</f>
        <v xml:space="preserve"> </v>
      </c>
    </row>
    <row r="410" spans="1:18" x14ac:dyDescent="0.25">
      <c r="A410">
        <f>'CAR PROMAX FILIAL CRUZ'!O404</f>
        <v>0</v>
      </c>
      <c r="B410" s="33" t="str">
        <f t="shared" si="15"/>
        <v xml:space="preserve"> </v>
      </c>
      <c r="C410" s="33" t="str">
        <f t="shared" si="14"/>
        <v xml:space="preserve"> </v>
      </c>
      <c r="D410" s="34" t="str">
        <f>IF(A410&lt;0,'CAR PROMAX FILIAL CRUZ'!B404," ")</f>
        <v xml:space="preserve"> </v>
      </c>
      <c r="E410" s="35" t="str">
        <f>IF(A410&lt;0,'CAR PROMAX FILIAL CRUZ'!C404," ")</f>
        <v xml:space="preserve"> </v>
      </c>
      <c r="F410" s="34" t="str">
        <f>IF(A410&lt;0,'CAR PROMAX FILIAL CRUZ'!D404," ")</f>
        <v xml:space="preserve"> </v>
      </c>
      <c r="G410" s="34" t="str">
        <f>IF(A410&lt;0,'CAR PROMAX FILIAL CRUZ'!E404," ")</f>
        <v xml:space="preserve"> </v>
      </c>
      <c r="H410" s="34" t="str">
        <f>IF(A410&lt;0,'CAR PROMAX FILIAL CRUZ'!J404," ")</f>
        <v xml:space="preserve"> </v>
      </c>
      <c r="I410" s="34"/>
      <c r="J410" s="34"/>
      <c r="K410" s="34" t="str">
        <f>IF(A410&lt;0,'CAR PROMAX FILIAL CRUZ'!O404," ")</f>
        <v xml:space="preserve"> </v>
      </c>
      <c r="L410" s="36" t="str">
        <f>IF(A410&lt;0,'CAR PROMAX FILIAL CRUZ'!P404," ")</f>
        <v xml:space="preserve"> </v>
      </c>
      <c r="M410" s="36" t="str">
        <f>IF(A410&lt;0,'CAR PROMAX FILIAL CRUZ'!Q404," ")</f>
        <v xml:space="preserve"> </v>
      </c>
      <c r="N410" s="36" t="str">
        <f>IF(A410&lt;0,'CAR PROMAX FILIAL CRUZ'!R404," ")</f>
        <v xml:space="preserve"> </v>
      </c>
      <c r="O410" s="37" t="str">
        <f>IF(A410&lt;0,'CAR PROMAX FILIAL CRUZ'!S404," ")</f>
        <v xml:space="preserve"> </v>
      </c>
      <c r="P410" s="37" t="str">
        <f>IF(A410&lt;0,'CAR PROMAX FILIAL CRUZ'!T404," ")</f>
        <v xml:space="preserve"> </v>
      </c>
      <c r="Q410" s="37" t="str">
        <f>IF(A410&lt;0,'CAR PROMAX FILIAL CRUZ'!U404," ")</f>
        <v xml:space="preserve"> </v>
      </c>
      <c r="R410" s="34" t="str">
        <f>IF(A410&lt;0,'CAR PROMAX FILIAL CRUZ'!V404," ")</f>
        <v xml:space="preserve"> </v>
      </c>
    </row>
    <row r="411" spans="1:18" x14ac:dyDescent="0.25">
      <c r="A411">
        <f>'CAR PROMAX FILIAL CRUZ'!O405</f>
        <v>0</v>
      </c>
      <c r="B411" s="33" t="str">
        <f t="shared" si="15"/>
        <v xml:space="preserve"> </v>
      </c>
      <c r="C411" s="33" t="str">
        <f t="shared" si="14"/>
        <v xml:space="preserve"> </v>
      </c>
      <c r="D411" s="34" t="str">
        <f>IF(A411&lt;0,'CAR PROMAX FILIAL CRUZ'!B405," ")</f>
        <v xml:space="preserve"> </v>
      </c>
      <c r="E411" s="35" t="str">
        <f>IF(A411&lt;0,'CAR PROMAX FILIAL CRUZ'!C405," ")</f>
        <v xml:space="preserve"> </v>
      </c>
      <c r="F411" s="34" t="str">
        <f>IF(A411&lt;0,'CAR PROMAX FILIAL CRUZ'!D405," ")</f>
        <v xml:space="preserve"> </v>
      </c>
      <c r="G411" s="34" t="str">
        <f>IF(A411&lt;0,'CAR PROMAX FILIAL CRUZ'!E405," ")</f>
        <v xml:space="preserve"> </v>
      </c>
      <c r="H411" s="34" t="str">
        <f>IF(A411&lt;0,'CAR PROMAX FILIAL CRUZ'!J405," ")</f>
        <v xml:space="preserve"> </v>
      </c>
      <c r="I411" s="34"/>
      <c r="J411" s="34"/>
      <c r="K411" s="34" t="str">
        <f>IF(A411&lt;0,'CAR PROMAX FILIAL CRUZ'!O405," ")</f>
        <v xml:space="preserve"> </v>
      </c>
      <c r="L411" s="36" t="str">
        <f>IF(A411&lt;0,'CAR PROMAX FILIAL CRUZ'!P405," ")</f>
        <v xml:space="preserve"> </v>
      </c>
      <c r="M411" s="36" t="str">
        <f>IF(A411&lt;0,'CAR PROMAX FILIAL CRUZ'!Q405," ")</f>
        <v xml:space="preserve"> </v>
      </c>
      <c r="N411" s="36" t="str">
        <f>IF(A411&lt;0,'CAR PROMAX FILIAL CRUZ'!R405," ")</f>
        <v xml:space="preserve"> </v>
      </c>
      <c r="O411" s="37" t="str">
        <f>IF(A411&lt;0,'CAR PROMAX FILIAL CRUZ'!S405," ")</f>
        <v xml:space="preserve"> </v>
      </c>
      <c r="P411" s="37" t="str">
        <f>IF(A411&lt;0,'CAR PROMAX FILIAL CRUZ'!T405," ")</f>
        <v xml:space="preserve"> </v>
      </c>
      <c r="Q411" s="37" t="str">
        <f>IF(A411&lt;0,'CAR PROMAX FILIAL CRUZ'!U405," ")</f>
        <v xml:space="preserve"> </v>
      </c>
      <c r="R411" s="34" t="str">
        <f>IF(A411&lt;0,'CAR PROMAX FILIAL CRUZ'!V405," ")</f>
        <v xml:space="preserve"> </v>
      </c>
    </row>
    <row r="412" spans="1:18" x14ac:dyDescent="0.25">
      <c r="A412">
        <f>'CAR PROMAX FILIAL CRUZ'!O406</f>
        <v>0</v>
      </c>
      <c r="B412" s="33" t="str">
        <f t="shared" si="15"/>
        <v xml:space="preserve"> </v>
      </c>
      <c r="C412" s="33" t="str">
        <f t="shared" si="14"/>
        <v xml:space="preserve"> </v>
      </c>
      <c r="D412" s="34" t="str">
        <f>IF(A412&lt;0,'CAR PROMAX FILIAL CRUZ'!B406," ")</f>
        <v xml:space="preserve"> </v>
      </c>
      <c r="E412" s="35" t="str">
        <f>IF(A412&lt;0,'CAR PROMAX FILIAL CRUZ'!C406," ")</f>
        <v xml:space="preserve"> </v>
      </c>
      <c r="F412" s="34" t="str">
        <f>IF(A412&lt;0,'CAR PROMAX FILIAL CRUZ'!D406," ")</f>
        <v xml:space="preserve"> </v>
      </c>
      <c r="G412" s="34" t="str">
        <f>IF(A412&lt;0,'CAR PROMAX FILIAL CRUZ'!E406," ")</f>
        <v xml:space="preserve"> </v>
      </c>
      <c r="H412" s="34" t="str">
        <f>IF(A412&lt;0,'CAR PROMAX FILIAL CRUZ'!J406," ")</f>
        <v xml:space="preserve"> </v>
      </c>
      <c r="I412" s="34"/>
      <c r="J412" s="34"/>
      <c r="K412" s="34" t="str">
        <f>IF(A412&lt;0,'CAR PROMAX FILIAL CRUZ'!O406," ")</f>
        <v xml:space="preserve"> </v>
      </c>
      <c r="L412" s="36" t="str">
        <f>IF(A412&lt;0,'CAR PROMAX FILIAL CRUZ'!P406," ")</f>
        <v xml:space="preserve"> </v>
      </c>
      <c r="M412" s="36" t="str">
        <f>IF(A412&lt;0,'CAR PROMAX FILIAL CRUZ'!Q406," ")</f>
        <v xml:space="preserve"> </v>
      </c>
      <c r="N412" s="36" t="str">
        <f>IF(A412&lt;0,'CAR PROMAX FILIAL CRUZ'!R406," ")</f>
        <v xml:space="preserve"> </v>
      </c>
      <c r="O412" s="37" t="str">
        <f>IF(A412&lt;0,'CAR PROMAX FILIAL CRUZ'!S406," ")</f>
        <v xml:space="preserve"> </v>
      </c>
      <c r="P412" s="37" t="str">
        <f>IF(A412&lt;0,'CAR PROMAX FILIAL CRUZ'!T406," ")</f>
        <v xml:space="preserve"> </v>
      </c>
      <c r="Q412" s="37" t="str">
        <f>IF(A412&lt;0,'CAR PROMAX FILIAL CRUZ'!U406," ")</f>
        <v xml:space="preserve"> </v>
      </c>
      <c r="R412" s="34" t="str">
        <f>IF(A412&lt;0,'CAR PROMAX FILIAL CRUZ'!V406," ")</f>
        <v xml:space="preserve"> </v>
      </c>
    </row>
    <row r="413" spans="1:18" x14ac:dyDescent="0.25">
      <c r="A413">
        <f>'CAR PROMAX FILIAL CRUZ'!O407</f>
        <v>0</v>
      </c>
      <c r="B413" s="33" t="str">
        <f t="shared" si="15"/>
        <v xml:space="preserve"> </v>
      </c>
      <c r="C413" s="33" t="str">
        <f t="shared" si="14"/>
        <v xml:space="preserve"> </v>
      </c>
      <c r="D413" s="34" t="str">
        <f>IF(A413&lt;0,'CAR PROMAX FILIAL CRUZ'!B407," ")</f>
        <v xml:space="preserve"> </v>
      </c>
      <c r="E413" s="35" t="str">
        <f>IF(A413&lt;0,'CAR PROMAX FILIAL CRUZ'!C407," ")</f>
        <v xml:space="preserve"> </v>
      </c>
      <c r="F413" s="34" t="str">
        <f>IF(A413&lt;0,'CAR PROMAX FILIAL CRUZ'!D407," ")</f>
        <v xml:space="preserve"> </v>
      </c>
      <c r="G413" s="34" t="str">
        <f>IF(A413&lt;0,'CAR PROMAX FILIAL CRUZ'!E407," ")</f>
        <v xml:space="preserve"> </v>
      </c>
      <c r="H413" s="34" t="str">
        <f>IF(A413&lt;0,'CAR PROMAX FILIAL CRUZ'!J407," ")</f>
        <v xml:space="preserve"> </v>
      </c>
      <c r="I413" s="34"/>
      <c r="J413" s="34"/>
      <c r="K413" s="34" t="str">
        <f>IF(A413&lt;0,'CAR PROMAX FILIAL CRUZ'!O407," ")</f>
        <v xml:space="preserve"> </v>
      </c>
      <c r="L413" s="36" t="str">
        <f>IF(A413&lt;0,'CAR PROMAX FILIAL CRUZ'!P407," ")</f>
        <v xml:space="preserve"> </v>
      </c>
      <c r="M413" s="36" t="str">
        <f>IF(A413&lt;0,'CAR PROMAX FILIAL CRUZ'!Q407," ")</f>
        <v xml:space="preserve"> </v>
      </c>
      <c r="N413" s="36" t="str">
        <f>IF(A413&lt;0,'CAR PROMAX FILIAL CRUZ'!R407," ")</f>
        <v xml:space="preserve"> </v>
      </c>
      <c r="O413" s="37" t="str">
        <f>IF(A413&lt;0,'CAR PROMAX FILIAL CRUZ'!S407," ")</f>
        <v xml:space="preserve"> </v>
      </c>
      <c r="P413" s="37" t="str">
        <f>IF(A413&lt;0,'CAR PROMAX FILIAL CRUZ'!T407," ")</f>
        <v xml:space="preserve"> </v>
      </c>
      <c r="Q413" s="37" t="str">
        <f>IF(A413&lt;0,'CAR PROMAX FILIAL CRUZ'!U407," ")</f>
        <v xml:space="preserve"> </v>
      </c>
      <c r="R413" s="34" t="str">
        <f>IF(A413&lt;0,'CAR PROMAX FILIAL CRUZ'!V407," ")</f>
        <v xml:space="preserve"> </v>
      </c>
    </row>
    <row r="414" spans="1:18" x14ac:dyDescent="0.25">
      <c r="A414">
        <f>'CAR PROMAX FILIAL CRUZ'!O408</f>
        <v>0</v>
      </c>
      <c r="B414" s="33" t="str">
        <f t="shared" si="15"/>
        <v xml:space="preserve"> </v>
      </c>
      <c r="C414" s="33" t="str">
        <f t="shared" si="14"/>
        <v xml:space="preserve"> </v>
      </c>
      <c r="D414" s="34" t="str">
        <f>IF(A414&lt;0,'CAR PROMAX FILIAL CRUZ'!B408," ")</f>
        <v xml:space="preserve"> </v>
      </c>
      <c r="E414" s="35" t="str">
        <f>IF(A414&lt;0,'CAR PROMAX FILIAL CRUZ'!C408," ")</f>
        <v xml:space="preserve"> </v>
      </c>
      <c r="F414" s="34" t="str">
        <f>IF(A414&lt;0,'CAR PROMAX FILIAL CRUZ'!D408," ")</f>
        <v xml:space="preserve"> </v>
      </c>
      <c r="G414" s="34" t="str">
        <f>IF(A414&lt;0,'CAR PROMAX FILIAL CRUZ'!E408," ")</f>
        <v xml:space="preserve"> </v>
      </c>
      <c r="H414" s="34" t="str">
        <f>IF(A414&lt;0,'CAR PROMAX FILIAL CRUZ'!J408," ")</f>
        <v xml:space="preserve"> </v>
      </c>
      <c r="I414" s="34"/>
      <c r="J414" s="34"/>
      <c r="K414" s="34" t="str">
        <f>IF(A414&lt;0,'CAR PROMAX FILIAL CRUZ'!O408," ")</f>
        <v xml:space="preserve"> </v>
      </c>
      <c r="L414" s="36" t="str">
        <f>IF(A414&lt;0,'CAR PROMAX FILIAL CRUZ'!P408," ")</f>
        <v xml:space="preserve"> </v>
      </c>
      <c r="M414" s="36" t="str">
        <f>IF(A414&lt;0,'CAR PROMAX FILIAL CRUZ'!Q408," ")</f>
        <v xml:space="preserve"> </v>
      </c>
      <c r="N414" s="36" t="str">
        <f>IF(A414&lt;0,'CAR PROMAX FILIAL CRUZ'!R408," ")</f>
        <v xml:space="preserve"> </v>
      </c>
      <c r="O414" s="37" t="str">
        <f>IF(A414&lt;0,'CAR PROMAX FILIAL CRUZ'!S408," ")</f>
        <v xml:space="preserve"> </v>
      </c>
      <c r="P414" s="37" t="str">
        <f>IF(A414&lt;0,'CAR PROMAX FILIAL CRUZ'!T408," ")</f>
        <v xml:space="preserve"> </v>
      </c>
      <c r="Q414" s="37" t="str">
        <f>IF(A414&lt;0,'CAR PROMAX FILIAL CRUZ'!U408," ")</f>
        <v xml:space="preserve"> </v>
      </c>
      <c r="R414" s="34" t="str">
        <f>IF(A414&lt;0,'CAR PROMAX FILIAL CRUZ'!V408," ")</f>
        <v xml:space="preserve"> </v>
      </c>
    </row>
    <row r="415" spans="1:18" x14ac:dyDescent="0.25">
      <c r="A415">
        <f>'CAR PROMAX FILIAL CRUZ'!O409</f>
        <v>0</v>
      </c>
      <c r="B415" s="33" t="str">
        <f t="shared" si="15"/>
        <v xml:space="preserve"> </v>
      </c>
      <c r="C415" s="33" t="str">
        <f t="shared" si="14"/>
        <v xml:space="preserve"> </v>
      </c>
      <c r="D415" s="34" t="str">
        <f>IF(A415&lt;0,'CAR PROMAX FILIAL CRUZ'!B409," ")</f>
        <v xml:space="preserve"> </v>
      </c>
      <c r="E415" s="35" t="str">
        <f>IF(A415&lt;0,'CAR PROMAX FILIAL CRUZ'!C409," ")</f>
        <v xml:space="preserve"> </v>
      </c>
      <c r="F415" s="34" t="str">
        <f>IF(A415&lt;0,'CAR PROMAX FILIAL CRUZ'!D409," ")</f>
        <v xml:space="preserve"> </v>
      </c>
      <c r="G415" s="34" t="str">
        <f>IF(A415&lt;0,'CAR PROMAX FILIAL CRUZ'!E409," ")</f>
        <v xml:space="preserve"> </v>
      </c>
      <c r="H415" s="34" t="str">
        <f>IF(A415&lt;0,'CAR PROMAX FILIAL CRUZ'!J409," ")</f>
        <v xml:space="preserve"> </v>
      </c>
      <c r="I415" s="34"/>
      <c r="J415" s="34"/>
      <c r="K415" s="34" t="str">
        <f>IF(A415&lt;0,'CAR PROMAX FILIAL CRUZ'!O409," ")</f>
        <v xml:space="preserve"> </v>
      </c>
      <c r="L415" s="36" t="str">
        <f>IF(A415&lt;0,'CAR PROMAX FILIAL CRUZ'!P409," ")</f>
        <v xml:space="preserve"> </v>
      </c>
      <c r="M415" s="36" t="str">
        <f>IF(A415&lt;0,'CAR PROMAX FILIAL CRUZ'!Q409," ")</f>
        <v xml:space="preserve"> </v>
      </c>
      <c r="N415" s="36" t="str">
        <f>IF(A415&lt;0,'CAR PROMAX FILIAL CRUZ'!R409," ")</f>
        <v xml:space="preserve"> </v>
      </c>
      <c r="O415" s="37" t="str">
        <f>IF(A415&lt;0,'CAR PROMAX FILIAL CRUZ'!S409," ")</f>
        <v xml:space="preserve"> </v>
      </c>
      <c r="P415" s="37" t="str">
        <f>IF(A415&lt;0,'CAR PROMAX FILIAL CRUZ'!T409," ")</f>
        <v xml:space="preserve"> </v>
      </c>
      <c r="Q415" s="37" t="str">
        <f>IF(A415&lt;0,'CAR PROMAX FILIAL CRUZ'!U409," ")</f>
        <v xml:space="preserve"> </v>
      </c>
      <c r="R415" s="34" t="str">
        <f>IF(A415&lt;0,'CAR PROMAX FILIAL CRUZ'!V409," ")</f>
        <v xml:space="preserve"> </v>
      </c>
    </row>
    <row r="416" spans="1:18" x14ac:dyDescent="0.25">
      <c r="A416">
        <f>'CAR PROMAX FILIAL CRUZ'!O410</f>
        <v>0</v>
      </c>
      <c r="B416" s="33" t="str">
        <f t="shared" si="15"/>
        <v xml:space="preserve"> </v>
      </c>
      <c r="C416" s="33" t="str">
        <f t="shared" si="14"/>
        <v xml:space="preserve"> </v>
      </c>
      <c r="D416" s="34" t="str">
        <f>IF(A416&lt;0,'CAR PROMAX FILIAL CRUZ'!B410," ")</f>
        <v xml:space="preserve"> </v>
      </c>
      <c r="E416" s="35" t="str">
        <f>IF(A416&lt;0,'CAR PROMAX FILIAL CRUZ'!C410," ")</f>
        <v xml:space="preserve"> </v>
      </c>
      <c r="F416" s="34" t="str">
        <f>IF(A416&lt;0,'CAR PROMAX FILIAL CRUZ'!D410," ")</f>
        <v xml:space="preserve"> </v>
      </c>
      <c r="G416" s="34" t="str">
        <f>IF(A416&lt;0,'CAR PROMAX FILIAL CRUZ'!E410," ")</f>
        <v xml:space="preserve"> </v>
      </c>
      <c r="H416" s="34" t="str">
        <f>IF(A416&lt;0,'CAR PROMAX FILIAL CRUZ'!J410," ")</f>
        <v xml:space="preserve"> </v>
      </c>
      <c r="I416" s="34"/>
      <c r="J416" s="34"/>
      <c r="K416" s="34" t="str">
        <f>IF(A416&lt;0,'CAR PROMAX FILIAL CRUZ'!O410," ")</f>
        <v xml:space="preserve"> </v>
      </c>
      <c r="L416" s="36" t="str">
        <f>IF(A416&lt;0,'CAR PROMAX FILIAL CRUZ'!P410," ")</f>
        <v xml:space="preserve"> </v>
      </c>
      <c r="M416" s="36" t="str">
        <f>IF(A416&lt;0,'CAR PROMAX FILIAL CRUZ'!Q410," ")</f>
        <v xml:space="preserve"> </v>
      </c>
      <c r="N416" s="36" t="str">
        <f>IF(A416&lt;0,'CAR PROMAX FILIAL CRUZ'!R410," ")</f>
        <v xml:space="preserve"> </v>
      </c>
      <c r="O416" s="37" t="str">
        <f>IF(A416&lt;0,'CAR PROMAX FILIAL CRUZ'!S410," ")</f>
        <v xml:space="preserve"> </v>
      </c>
      <c r="P416" s="37" t="str">
        <f>IF(A416&lt;0,'CAR PROMAX FILIAL CRUZ'!T410," ")</f>
        <v xml:space="preserve"> </v>
      </c>
      <c r="Q416" s="37" t="str">
        <f>IF(A416&lt;0,'CAR PROMAX FILIAL CRUZ'!U410," ")</f>
        <v xml:space="preserve"> </v>
      </c>
      <c r="R416" s="34" t="str">
        <f>IF(A416&lt;0,'CAR PROMAX FILIAL CRUZ'!V410," ")</f>
        <v xml:space="preserve"> </v>
      </c>
    </row>
    <row r="417" spans="1:18" x14ac:dyDescent="0.25">
      <c r="A417">
        <f>'CAR PROMAX FILIAL CRUZ'!O411</f>
        <v>0</v>
      </c>
      <c r="B417" s="33" t="str">
        <f t="shared" si="15"/>
        <v xml:space="preserve"> </v>
      </c>
      <c r="C417" s="33" t="str">
        <f t="shared" si="14"/>
        <v xml:space="preserve"> </v>
      </c>
      <c r="D417" s="34" t="str">
        <f>IF(A417&lt;0,'CAR PROMAX FILIAL CRUZ'!B411," ")</f>
        <v xml:space="preserve"> </v>
      </c>
      <c r="E417" s="35" t="str">
        <f>IF(A417&lt;0,'CAR PROMAX FILIAL CRUZ'!C411," ")</f>
        <v xml:space="preserve"> </v>
      </c>
      <c r="F417" s="34" t="str">
        <f>IF(A417&lt;0,'CAR PROMAX FILIAL CRUZ'!D411," ")</f>
        <v xml:space="preserve"> </v>
      </c>
      <c r="G417" s="34" t="str">
        <f>IF(A417&lt;0,'CAR PROMAX FILIAL CRUZ'!E411," ")</f>
        <v xml:space="preserve"> </v>
      </c>
      <c r="H417" s="34" t="str">
        <f>IF(A417&lt;0,'CAR PROMAX FILIAL CRUZ'!J411," ")</f>
        <v xml:space="preserve"> </v>
      </c>
      <c r="I417" s="34"/>
      <c r="J417" s="34"/>
      <c r="K417" s="34" t="str">
        <f>IF(A417&lt;0,'CAR PROMAX FILIAL CRUZ'!O411," ")</f>
        <v xml:space="preserve"> </v>
      </c>
      <c r="L417" s="36" t="str">
        <f>IF(A417&lt;0,'CAR PROMAX FILIAL CRUZ'!P411," ")</f>
        <v xml:space="preserve"> </v>
      </c>
      <c r="M417" s="36" t="str">
        <f>IF(A417&lt;0,'CAR PROMAX FILIAL CRUZ'!Q411," ")</f>
        <v xml:space="preserve"> </v>
      </c>
      <c r="N417" s="36" t="str">
        <f>IF(A417&lt;0,'CAR PROMAX FILIAL CRUZ'!R411," ")</f>
        <v xml:space="preserve"> </v>
      </c>
      <c r="O417" s="37" t="str">
        <f>IF(A417&lt;0,'CAR PROMAX FILIAL CRUZ'!S411," ")</f>
        <v xml:space="preserve"> </v>
      </c>
      <c r="P417" s="37" t="str">
        <f>IF(A417&lt;0,'CAR PROMAX FILIAL CRUZ'!T411," ")</f>
        <v xml:space="preserve"> </v>
      </c>
      <c r="Q417" s="37" t="str">
        <f>IF(A417&lt;0,'CAR PROMAX FILIAL CRUZ'!U411," ")</f>
        <v xml:space="preserve"> </v>
      </c>
      <c r="R417" s="34" t="str">
        <f>IF(A417&lt;0,'CAR PROMAX FILIAL CRUZ'!V411," ")</f>
        <v xml:space="preserve"> </v>
      </c>
    </row>
    <row r="418" spans="1:18" x14ac:dyDescent="0.25">
      <c r="A418">
        <f>'CAR PROMAX FILIAL CRUZ'!O412</f>
        <v>0</v>
      </c>
      <c r="B418" s="33" t="str">
        <f t="shared" si="15"/>
        <v xml:space="preserve"> </v>
      </c>
      <c r="C418" s="33" t="str">
        <f t="shared" si="14"/>
        <v xml:space="preserve"> </v>
      </c>
      <c r="D418" s="34" t="str">
        <f>IF(A418&lt;0,'CAR PROMAX FILIAL CRUZ'!B412," ")</f>
        <v xml:space="preserve"> </v>
      </c>
      <c r="E418" s="35" t="str">
        <f>IF(A418&lt;0,'CAR PROMAX FILIAL CRUZ'!C412," ")</f>
        <v xml:space="preserve"> </v>
      </c>
      <c r="F418" s="34" t="str">
        <f>IF(A418&lt;0,'CAR PROMAX FILIAL CRUZ'!D412," ")</f>
        <v xml:space="preserve"> </v>
      </c>
      <c r="G418" s="34" t="str">
        <f>IF(A418&lt;0,'CAR PROMAX FILIAL CRUZ'!E412," ")</f>
        <v xml:space="preserve"> </v>
      </c>
      <c r="H418" s="34" t="str">
        <f>IF(A418&lt;0,'CAR PROMAX FILIAL CRUZ'!J412," ")</f>
        <v xml:space="preserve"> </v>
      </c>
      <c r="I418" s="34"/>
      <c r="J418" s="34"/>
      <c r="K418" s="34" t="str">
        <f>IF(A418&lt;0,'CAR PROMAX FILIAL CRUZ'!O412," ")</f>
        <v xml:space="preserve"> </v>
      </c>
      <c r="L418" s="36" t="str">
        <f>IF(A418&lt;0,'CAR PROMAX FILIAL CRUZ'!P412," ")</f>
        <v xml:space="preserve"> </v>
      </c>
      <c r="M418" s="36" t="str">
        <f>IF(A418&lt;0,'CAR PROMAX FILIAL CRUZ'!Q412," ")</f>
        <v xml:space="preserve"> </v>
      </c>
      <c r="N418" s="36" t="str">
        <f>IF(A418&lt;0,'CAR PROMAX FILIAL CRUZ'!R412," ")</f>
        <v xml:space="preserve"> </v>
      </c>
      <c r="O418" s="37" t="str">
        <f>IF(A418&lt;0,'CAR PROMAX FILIAL CRUZ'!S412," ")</f>
        <v xml:space="preserve"> </v>
      </c>
      <c r="P418" s="37" t="str">
        <f>IF(A418&lt;0,'CAR PROMAX FILIAL CRUZ'!T412," ")</f>
        <v xml:space="preserve"> </v>
      </c>
      <c r="Q418" s="37" t="str">
        <f>IF(A418&lt;0,'CAR PROMAX FILIAL CRUZ'!U412," ")</f>
        <v xml:space="preserve"> </v>
      </c>
      <c r="R418" s="34" t="str">
        <f>IF(A418&lt;0,'CAR PROMAX FILIAL CRUZ'!V412," ")</f>
        <v xml:space="preserve"> </v>
      </c>
    </row>
    <row r="419" spans="1:18" x14ac:dyDescent="0.25">
      <c r="A419">
        <f>'CAR PROMAX FILIAL CRUZ'!O413</f>
        <v>0</v>
      </c>
      <c r="B419" s="33" t="str">
        <f t="shared" si="15"/>
        <v xml:space="preserve"> </v>
      </c>
      <c r="C419" s="33" t="str">
        <f t="shared" si="14"/>
        <v xml:space="preserve"> </v>
      </c>
      <c r="D419" s="34" t="str">
        <f>IF(A419&lt;0,'CAR PROMAX FILIAL CRUZ'!B413," ")</f>
        <v xml:space="preserve"> </v>
      </c>
      <c r="E419" s="35" t="str">
        <f>IF(A419&lt;0,'CAR PROMAX FILIAL CRUZ'!C413," ")</f>
        <v xml:space="preserve"> </v>
      </c>
      <c r="F419" s="34" t="str">
        <f>IF(A419&lt;0,'CAR PROMAX FILIAL CRUZ'!D413," ")</f>
        <v xml:space="preserve"> </v>
      </c>
      <c r="G419" s="34" t="str">
        <f>IF(A419&lt;0,'CAR PROMAX FILIAL CRUZ'!E413," ")</f>
        <v xml:space="preserve"> </v>
      </c>
      <c r="H419" s="34" t="str">
        <f>IF(A419&lt;0,'CAR PROMAX FILIAL CRUZ'!J413," ")</f>
        <v xml:space="preserve"> </v>
      </c>
      <c r="I419" s="34"/>
      <c r="J419" s="34"/>
      <c r="K419" s="34" t="str">
        <f>IF(A419&lt;0,'CAR PROMAX FILIAL CRUZ'!O413," ")</f>
        <v xml:space="preserve"> </v>
      </c>
      <c r="L419" s="36" t="str">
        <f>IF(A419&lt;0,'CAR PROMAX FILIAL CRUZ'!P413," ")</f>
        <v xml:space="preserve"> </v>
      </c>
      <c r="M419" s="36" t="str">
        <f>IF(A419&lt;0,'CAR PROMAX FILIAL CRUZ'!Q413," ")</f>
        <v xml:space="preserve"> </v>
      </c>
      <c r="N419" s="36" t="str">
        <f>IF(A419&lt;0,'CAR PROMAX FILIAL CRUZ'!R413," ")</f>
        <v xml:space="preserve"> </v>
      </c>
      <c r="O419" s="37" t="str">
        <f>IF(A419&lt;0,'CAR PROMAX FILIAL CRUZ'!S413," ")</f>
        <v xml:space="preserve"> </v>
      </c>
      <c r="P419" s="37" t="str">
        <f>IF(A419&lt;0,'CAR PROMAX FILIAL CRUZ'!T413," ")</f>
        <v xml:space="preserve"> </v>
      </c>
      <c r="Q419" s="37" t="str">
        <f>IF(A419&lt;0,'CAR PROMAX FILIAL CRUZ'!U413," ")</f>
        <v xml:space="preserve"> </v>
      </c>
      <c r="R419" s="34" t="str">
        <f>IF(A419&lt;0,'CAR PROMAX FILIAL CRUZ'!V413," ")</f>
        <v xml:space="preserve"> </v>
      </c>
    </row>
    <row r="420" spans="1:18" x14ac:dyDescent="0.25">
      <c r="A420">
        <f>'CAR PROMAX FILIAL CRUZ'!O414</f>
        <v>0</v>
      </c>
      <c r="B420" s="33" t="str">
        <f t="shared" si="15"/>
        <v xml:space="preserve"> </v>
      </c>
      <c r="C420" s="33" t="str">
        <f t="shared" si="14"/>
        <v xml:space="preserve"> </v>
      </c>
      <c r="D420" s="34" t="str">
        <f>IF(A420&lt;0,'CAR PROMAX FILIAL CRUZ'!B414," ")</f>
        <v xml:space="preserve"> </v>
      </c>
      <c r="E420" s="35" t="str">
        <f>IF(A420&lt;0,'CAR PROMAX FILIAL CRUZ'!C414," ")</f>
        <v xml:space="preserve"> </v>
      </c>
      <c r="F420" s="34" t="str">
        <f>IF(A420&lt;0,'CAR PROMAX FILIAL CRUZ'!D414," ")</f>
        <v xml:space="preserve"> </v>
      </c>
      <c r="G420" s="34" t="str">
        <f>IF(A420&lt;0,'CAR PROMAX FILIAL CRUZ'!E414," ")</f>
        <v xml:space="preserve"> </v>
      </c>
      <c r="H420" s="34" t="str">
        <f>IF(A420&lt;0,'CAR PROMAX FILIAL CRUZ'!J414," ")</f>
        <v xml:space="preserve"> </v>
      </c>
      <c r="I420" s="34"/>
      <c r="J420" s="34"/>
      <c r="K420" s="34" t="str">
        <f>IF(A420&lt;0,'CAR PROMAX FILIAL CRUZ'!O414," ")</f>
        <v xml:space="preserve"> </v>
      </c>
      <c r="L420" s="36" t="str">
        <f>IF(A420&lt;0,'CAR PROMAX FILIAL CRUZ'!P414," ")</f>
        <v xml:space="preserve"> </v>
      </c>
      <c r="M420" s="36" t="str">
        <f>IF(A420&lt;0,'CAR PROMAX FILIAL CRUZ'!Q414," ")</f>
        <v xml:space="preserve"> </v>
      </c>
      <c r="N420" s="36" t="str">
        <f>IF(A420&lt;0,'CAR PROMAX FILIAL CRUZ'!R414," ")</f>
        <v xml:space="preserve"> </v>
      </c>
      <c r="O420" s="37" t="str">
        <f>IF(A420&lt;0,'CAR PROMAX FILIAL CRUZ'!S414," ")</f>
        <v xml:space="preserve"> </v>
      </c>
      <c r="P420" s="37" t="str">
        <f>IF(A420&lt;0,'CAR PROMAX FILIAL CRUZ'!T414," ")</f>
        <v xml:space="preserve"> </v>
      </c>
      <c r="Q420" s="37" t="str">
        <f>IF(A420&lt;0,'CAR PROMAX FILIAL CRUZ'!U414," ")</f>
        <v xml:space="preserve"> </v>
      </c>
      <c r="R420" s="34" t="str">
        <f>IF(A420&lt;0,'CAR PROMAX FILIAL CRUZ'!V414," ")</f>
        <v xml:space="preserve"> </v>
      </c>
    </row>
    <row r="421" spans="1:18" x14ac:dyDescent="0.25">
      <c r="A421">
        <f>'CAR PROMAX FILIAL CRUZ'!O415</f>
        <v>0</v>
      </c>
      <c r="B421" s="33" t="str">
        <f t="shared" si="15"/>
        <v xml:space="preserve"> </v>
      </c>
      <c r="C421" s="33" t="str">
        <f t="shared" si="14"/>
        <v xml:space="preserve"> </v>
      </c>
      <c r="D421" s="34" t="str">
        <f>IF(A421&lt;0,'CAR PROMAX FILIAL CRUZ'!B415," ")</f>
        <v xml:space="preserve"> </v>
      </c>
      <c r="E421" s="35" t="str">
        <f>IF(A421&lt;0,'CAR PROMAX FILIAL CRUZ'!C415," ")</f>
        <v xml:space="preserve"> </v>
      </c>
      <c r="F421" s="34" t="str">
        <f>IF(A421&lt;0,'CAR PROMAX FILIAL CRUZ'!D415," ")</f>
        <v xml:space="preserve"> </v>
      </c>
      <c r="G421" s="34" t="str">
        <f>IF(A421&lt;0,'CAR PROMAX FILIAL CRUZ'!E415," ")</f>
        <v xml:space="preserve"> </v>
      </c>
      <c r="H421" s="34" t="str">
        <f>IF(A421&lt;0,'CAR PROMAX FILIAL CRUZ'!J415," ")</f>
        <v xml:space="preserve"> </v>
      </c>
      <c r="I421" s="34"/>
      <c r="J421" s="34"/>
      <c r="K421" s="34" t="str">
        <f>IF(A421&lt;0,'CAR PROMAX FILIAL CRUZ'!O415," ")</f>
        <v xml:space="preserve"> </v>
      </c>
      <c r="L421" s="36" t="str">
        <f>IF(A421&lt;0,'CAR PROMAX FILIAL CRUZ'!P415," ")</f>
        <v xml:space="preserve"> </v>
      </c>
      <c r="M421" s="36" t="str">
        <f>IF(A421&lt;0,'CAR PROMAX FILIAL CRUZ'!Q415," ")</f>
        <v xml:space="preserve"> </v>
      </c>
      <c r="N421" s="36" t="str">
        <f>IF(A421&lt;0,'CAR PROMAX FILIAL CRUZ'!R415," ")</f>
        <v xml:space="preserve"> </v>
      </c>
      <c r="O421" s="37" t="str">
        <f>IF(A421&lt;0,'CAR PROMAX FILIAL CRUZ'!S415," ")</f>
        <v xml:space="preserve"> </v>
      </c>
      <c r="P421" s="37" t="str">
        <f>IF(A421&lt;0,'CAR PROMAX FILIAL CRUZ'!T415," ")</f>
        <v xml:space="preserve"> </v>
      </c>
      <c r="Q421" s="37" t="str">
        <f>IF(A421&lt;0,'CAR PROMAX FILIAL CRUZ'!U415," ")</f>
        <v xml:space="preserve"> </v>
      </c>
      <c r="R421" s="34" t="str">
        <f>IF(A421&lt;0,'CAR PROMAX FILIAL CRUZ'!V415," ")</f>
        <v xml:space="preserve"> </v>
      </c>
    </row>
    <row r="422" spans="1:18" x14ac:dyDescent="0.25">
      <c r="A422">
        <f>'CAR PROMAX FILIAL CRUZ'!O416</f>
        <v>0</v>
      </c>
      <c r="B422" s="33" t="str">
        <f t="shared" si="15"/>
        <v xml:space="preserve"> </v>
      </c>
      <c r="C422" s="33" t="str">
        <f t="shared" si="14"/>
        <v xml:space="preserve"> </v>
      </c>
      <c r="D422" s="34" t="str">
        <f>IF(A422&lt;0,'CAR PROMAX FILIAL CRUZ'!B416," ")</f>
        <v xml:space="preserve"> </v>
      </c>
      <c r="E422" s="35" t="str">
        <f>IF(A422&lt;0,'CAR PROMAX FILIAL CRUZ'!C416," ")</f>
        <v xml:space="preserve"> </v>
      </c>
      <c r="F422" s="34" t="str">
        <f>IF(A422&lt;0,'CAR PROMAX FILIAL CRUZ'!D416," ")</f>
        <v xml:space="preserve"> </v>
      </c>
      <c r="G422" s="34" t="str">
        <f>IF(A422&lt;0,'CAR PROMAX FILIAL CRUZ'!E416," ")</f>
        <v xml:space="preserve"> </v>
      </c>
      <c r="H422" s="34" t="str">
        <f>IF(A422&lt;0,'CAR PROMAX FILIAL CRUZ'!J416," ")</f>
        <v xml:space="preserve"> </v>
      </c>
      <c r="I422" s="34"/>
      <c r="J422" s="34"/>
      <c r="K422" s="34" t="str">
        <f>IF(A422&lt;0,'CAR PROMAX FILIAL CRUZ'!O416," ")</f>
        <v xml:space="preserve"> </v>
      </c>
      <c r="L422" s="36" t="str">
        <f>IF(A422&lt;0,'CAR PROMAX FILIAL CRUZ'!P416," ")</f>
        <v xml:space="preserve"> </v>
      </c>
      <c r="M422" s="36" t="str">
        <f>IF(A422&lt;0,'CAR PROMAX FILIAL CRUZ'!Q416," ")</f>
        <v xml:space="preserve"> </v>
      </c>
      <c r="N422" s="36" t="str">
        <f>IF(A422&lt;0,'CAR PROMAX FILIAL CRUZ'!R416," ")</f>
        <v xml:space="preserve"> </v>
      </c>
      <c r="O422" s="37" t="str">
        <f>IF(A422&lt;0,'CAR PROMAX FILIAL CRUZ'!S416," ")</f>
        <v xml:space="preserve"> </v>
      </c>
      <c r="P422" s="37" t="str">
        <f>IF(A422&lt;0,'CAR PROMAX FILIAL CRUZ'!T416," ")</f>
        <v xml:space="preserve"> </v>
      </c>
      <c r="Q422" s="37" t="str">
        <f>IF(A422&lt;0,'CAR PROMAX FILIAL CRUZ'!U416," ")</f>
        <v xml:space="preserve"> </v>
      </c>
      <c r="R422" s="34" t="str">
        <f>IF(A422&lt;0,'CAR PROMAX FILIAL CRUZ'!V416," ")</f>
        <v xml:space="preserve"> </v>
      </c>
    </row>
    <row r="423" spans="1:18" x14ac:dyDescent="0.25">
      <c r="A423">
        <f>'CAR PROMAX FILIAL CRUZ'!O417</f>
        <v>0</v>
      </c>
      <c r="B423" s="33" t="str">
        <f t="shared" si="15"/>
        <v xml:space="preserve"> </v>
      </c>
      <c r="C423" s="33" t="str">
        <f t="shared" si="14"/>
        <v xml:space="preserve"> </v>
      </c>
      <c r="D423" s="34" t="str">
        <f>IF(A423&lt;0,'CAR PROMAX FILIAL CRUZ'!B417," ")</f>
        <v xml:space="preserve"> </v>
      </c>
      <c r="E423" s="35" t="str">
        <f>IF(A423&lt;0,'CAR PROMAX FILIAL CRUZ'!C417," ")</f>
        <v xml:space="preserve"> </v>
      </c>
      <c r="F423" s="34" t="str">
        <f>IF(A423&lt;0,'CAR PROMAX FILIAL CRUZ'!D417," ")</f>
        <v xml:space="preserve"> </v>
      </c>
      <c r="G423" s="34" t="str">
        <f>IF(A423&lt;0,'CAR PROMAX FILIAL CRUZ'!E417," ")</f>
        <v xml:space="preserve"> </v>
      </c>
      <c r="H423" s="34" t="str">
        <f>IF(A423&lt;0,'CAR PROMAX FILIAL CRUZ'!J417," ")</f>
        <v xml:space="preserve"> </v>
      </c>
      <c r="I423" s="34"/>
      <c r="J423" s="34"/>
      <c r="K423" s="34" t="str">
        <f>IF(A423&lt;0,'CAR PROMAX FILIAL CRUZ'!O417," ")</f>
        <v xml:space="preserve"> </v>
      </c>
      <c r="L423" s="36" t="str">
        <f>IF(A423&lt;0,'CAR PROMAX FILIAL CRUZ'!P417," ")</f>
        <v xml:space="preserve"> </v>
      </c>
      <c r="M423" s="36" t="str">
        <f>IF(A423&lt;0,'CAR PROMAX FILIAL CRUZ'!Q417," ")</f>
        <v xml:space="preserve"> </v>
      </c>
      <c r="N423" s="36" t="str">
        <f>IF(A423&lt;0,'CAR PROMAX FILIAL CRUZ'!R417," ")</f>
        <v xml:space="preserve"> </v>
      </c>
      <c r="O423" s="37" t="str">
        <f>IF(A423&lt;0,'CAR PROMAX FILIAL CRUZ'!S417," ")</f>
        <v xml:space="preserve"> </v>
      </c>
      <c r="P423" s="37" t="str">
        <f>IF(A423&lt;0,'CAR PROMAX FILIAL CRUZ'!T417," ")</f>
        <v xml:space="preserve"> </v>
      </c>
      <c r="Q423" s="37" t="str">
        <f>IF(A423&lt;0,'CAR PROMAX FILIAL CRUZ'!U417," ")</f>
        <v xml:space="preserve"> </v>
      </c>
      <c r="R423" s="34" t="str">
        <f>IF(A423&lt;0,'CAR PROMAX FILIAL CRUZ'!V417," ")</f>
        <v xml:space="preserve"> </v>
      </c>
    </row>
    <row r="424" spans="1:18" x14ac:dyDescent="0.25">
      <c r="A424">
        <f>'CAR PROMAX FILIAL CRUZ'!O418</f>
        <v>0</v>
      </c>
      <c r="B424" s="33" t="str">
        <f t="shared" si="15"/>
        <v xml:space="preserve"> </v>
      </c>
      <c r="C424" s="33" t="str">
        <f t="shared" si="14"/>
        <v xml:space="preserve"> </v>
      </c>
      <c r="D424" s="34" t="str">
        <f>IF(A424&lt;0,'CAR PROMAX FILIAL CRUZ'!B418," ")</f>
        <v xml:space="preserve"> </v>
      </c>
      <c r="E424" s="35" t="str">
        <f>IF(A424&lt;0,'CAR PROMAX FILIAL CRUZ'!C418," ")</f>
        <v xml:space="preserve"> </v>
      </c>
      <c r="F424" s="34" t="str">
        <f>IF(A424&lt;0,'CAR PROMAX FILIAL CRUZ'!D418," ")</f>
        <v xml:space="preserve"> </v>
      </c>
      <c r="G424" s="34" t="str">
        <f>IF(A424&lt;0,'CAR PROMAX FILIAL CRUZ'!E418," ")</f>
        <v xml:space="preserve"> </v>
      </c>
      <c r="H424" s="34" t="str">
        <f>IF(A424&lt;0,'CAR PROMAX FILIAL CRUZ'!J418," ")</f>
        <v xml:space="preserve"> </v>
      </c>
      <c r="I424" s="34"/>
      <c r="J424" s="34"/>
      <c r="K424" s="34" t="str">
        <f>IF(A424&lt;0,'CAR PROMAX FILIAL CRUZ'!O418," ")</f>
        <v xml:space="preserve"> </v>
      </c>
      <c r="L424" s="36" t="str">
        <f>IF(A424&lt;0,'CAR PROMAX FILIAL CRUZ'!P418," ")</f>
        <v xml:space="preserve"> </v>
      </c>
      <c r="M424" s="36" t="str">
        <f>IF(A424&lt;0,'CAR PROMAX FILIAL CRUZ'!Q418," ")</f>
        <v xml:space="preserve"> </v>
      </c>
      <c r="N424" s="36" t="str">
        <f>IF(A424&lt;0,'CAR PROMAX FILIAL CRUZ'!R418," ")</f>
        <v xml:space="preserve"> </v>
      </c>
      <c r="O424" s="37" t="str">
        <f>IF(A424&lt;0,'CAR PROMAX FILIAL CRUZ'!S418," ")</f>
        <v xml:space="preserve"> </v>
      </c>
      <c r="P424" s="37" t="str">
        <f>IF(A424&lt;0,'CAR PROMAX FILIAL CRUZ'!T418," ")</f>
        <v xml:space="preserve"> </v>
      </c>
      <c r="Q424" s="37" t="str">
        <f>IF(A424&lt;0,'CAR PROMAX FILIAL CRUZ'!U418," ")</f>
        <v xml:space="preserve"> </v>
      </c>
      <c r="R424" s="34" t="str">
        <f>IF(A424&lt;0,'CAR PROMAX FILIAL CRUZ'!V418," ")</f>
        <v xml:space="preserve"> </v>
      </c>
    </row>
    <row r="425" spans="1:18" x14ac:dyDescent="0.25">
      <c r="A425">
        <f>'CAR PROMAX FILIAL CRUZ'!O419</f>
        <v>0</v>
      </c>
      <c r="B425" s="33" t="str">
        <f t="shared" si="15"/>
        <v xml:space="preserve"> </v>
      </c>
      <c r="C425" s="33" t="str">
        <f t="shared" si="14"/>
        <v xml:space="preserve"> </v>
      </c>
      <c r="D425" s="34" t="str">
        <f>IF(A425&lt;0,'CAR PROMAX FILIAL CRUZ'!B419," ")</f>
        <v xml:space="preserve"> </v>
      </c>
      <c r="E425" s="35" t="str">
        <f>IF(A425&lt;0,'CAR PROMAX FILIAL CRUZ'!C419," ")</f>
        <v xml:space="preserve"> </v>
      </c>
      <c r="F425" s="34" t="str">
        <f>IF(A425&lt;0,'CAR PROMAX FILIAL CRUZ'!D419," ")</f>
        <v xml:space="preserve"> </v>
      </c>
      <c r="G425" s="34" t="str">
        <f>IF(A425&lt;0,'CAR PROMAX FILIAL CRUZ'!E419," ")</f>
        <v xml:space="preserve"> </v>
      </c>
      <c r="H425" s="34" t="str">
        <f>IF(A425&lt;0,'CAR PROMAX FILIAL CRUZ'!J419," ")</f>
        <v xml:space="preserve"> </v>
      </c>
      <c r="I425" s="34"/>
      <c r="J425" s="34"/>
      <c r="K425" s="34" t="str">
        <f>IF(A425&lt;0,'CAR PROMAX FILIAL CRUZ'!O419," ")</f>
        <v xml:space="preserve"> </v>
      </c>
      <c r="L425" s="36" t="str">
        <f>IF(A425&lt;0,'CAR PROMAX FILIAL CRUZ'!P419," ")</f>
        <v xml:space="preserve"> </v>
      </c>
      <c r="M425" s="36" t="str">
        <f>IF(A425&lt;0,'CAR PROMAX FILIAL CRUZ'!Q419," ")</f>
        <v xml:space="preserve"> </v>
      </c>
      <c r="N425" s="36" t="str">
        <f>IF(A425&lt;0,'CAR PROMAX FILIAL CRUZ'!R419," ")</f>
        <v xml:space="preserve"> </v>
      </c>
      <c r="O425" s="37" t="str">
        <f>IF(A425&lt;0,'CAR PROMAX FILIAL CRUZ'!S419," ")</f>
        <v xml:space="preserve"> </v>
      </c>
      <c r="P425" s="37" t="str">
        <f>IF(A425&lt;0,'CAR PROMAX FILIAL CRUZ'!T419," ")</f>
        <v xml:space="preserve"> </v>
      </c>
      <c r="Q425" s="37" t="str">
        <f>IF(A425&lt;0,'CAR PROMAX FILIAL CRUZ'!U419," ")</f>
        <v xml:space="preserve"> </v>
      </c>
      <c r="R425" s="34" t="str">
        <f>IF(A425&lt;0,'CAR PROMAX FILIAL CRUZ'!V419," ")</f>
        <v xml:space="preserve"> </v>
      </c>
    </row>
    <row r="426" spans="1:18" x14ac:dyDescent="0.25">
      <c r="A426">
        <f>'CAR PROMAX FILIAL CRUZ'!O420</f>
        <v>0</v>
      </c>
      <c r="B426" s="33" t="str">
        <f t="shared" si="15"/>
        <v xml:space="preserve"> </v>
      </c>
      <c r="C426" s="33" t="str">
        <f t="shared" si="14"/>
        <v xml:space="preserve"> </v>
      </c>
      <c r="D426" s="34" t="str">
        <f>IF(A426&lt;0,'CAR PROMAX FILIAL CRUZ'!B420," ")</f>
        <v xml:space="preserve"> </v>
      </c>
      <c r="E426" s="35" t="str">
        <f>IF(A426&lt;0,'CAR PROMAX FILIAL CRUZ'!C420," ")</f>
        <v xml:space="preserve"> </v>
      </c>
      <c r="F426" s="34" t="str">
        <f>IF(A426&lt;0,'CAR PROMAX FILIAL CRUZ'!D420," ")</f>
        <v xml:space="preserve"> </v>
      </c>
      <c r="G426" s="34" t="str">
        <f>IF(A426&lt;0,'CAR PROMAX FILIAL CRUZ'!E420," ")</f>
        <v xml:space="preserve"> </v>
      </c>
      <c r="H426" s="34" t="str">
        <f>IF(A426&lt;0,'CAR PROMAX FILIAL CRUZ'!J420," ")</f>
        <v xml:space="preserve"> </v>
      </c>
      <c r="I426" s="34"/>
      <c r="J426" s="34"/>
      <c r="K426" s="34" t="str">
        <f>IF(A426&lt;0,'CAR PROMAX FILIAL CRUZ'!O420," ")</f>
        <v xml:space="preserve"> </v>
      </c>
      <c r="L426" s="36" t="str">
        <f>IF(A426&lt;0,'CAR PROMAX FILIAL CRUZ'!P420," ")</f>
        <v xml:space="preserve"> </v>
      </c>
      <c r="M426" s="36" t="str">
        <f>IF(A426&lt;0,'CAR PROMAX FILIAL CRUZ'!Q420," ")</f>
        <v xml:space="preserve"> </v>
      </c>
      <c r="N426" s="36" t="str">
        <f>IF(A426&lt;0,'CAR PROMAX FILIAL CRUZ'!R420," ")</f>
        <v xml:space="preserve"> </v>
      </c>
      <c r="O426" s="37" t="str">
        <f>IF(A426&lt;0,'CAR PROMAX FILIAL CRUZ'!S420," ")</f>
        <v xml:space="preserve"> </v>
      </c>
      <c r="P426" s="37" t="str">
        <f>IF(A426&lt;0,'CAR PROMAX FILIAL CRUZ'!T420," ")</f>
        <v xml:space="preserve"> </v>
      </c>
      <c r="Q426" s="37" t="str">
        <f>IF(A426&lt;0,'CAR PROMAX FILIAL CRUZ'!U420," ")</f>
        <v xml:space="preserve"> </v>
      </c>
      <c r="R426" s="34" t="str">
        <f>IF(A426&lt;0,'CAR PROMAX FILIAL CRUZ'!V420," ")</f>
        <v xml:space="preserve"> </v>
      </c>
    </row>
    <row r="427" spans="1:18" x14ac:dyDescent="0.25">
      <c r="A427">
        <f>'CAR PROMAX FILIAL CRUZ'!O421</f>
        <v>0</v>
      </c>
      <c r="B427" s="33" t="str">
        <f t="shared" si="15"/>
        <v xml:space="preserve"> </v>
      </c>
      <c r="C427" s="33" t="str">
        <f t="shared" si="14"/>
        <v xml:space="preserve"> </v>
      </c>
      <c r="D427" s="34" t="str">
        <f>IF(A427&lt;0,'CAR PROMAX FILIAL CRUZ'!B421," ")</f>
        <v xml:space="preserve"> </v>
      </c>
      <c r="E427" s="35" t="str">
        <f>IF(A427&lt;0,'CAR PROMAX FILIAL CRUZ'!C421," ")</f>
        <v xml:space="preserve"> </v>
      </c>
      <c r="F427" s="34" t="str">
        <f>IF(A427&lt;0,'CAR PROMAX FILIAL CRUZ'!D421," ")</f>
        <v xml:space="preserve"> </v>
      </c>
      <c r="G427" s="34" t="str">
        <f>IF(A427&lt;0,'CAR PROMAX FILIAL CRUZ'!E421," ")</f>
        <v xml:space="preserve"> </v>
      </c>
      <c r="H427" s="34" t="str">
        <f>IF(A427&lt;0,'CAR PROMAX FILIAL CRUZ'!J421," ")</f>
        <v xml:space="preserve"> </v>
      </c>
      <c r="I427" s="34"/>
      <c r="J427" s="34"/>
      <c r="K427" s="34" t="str">
        <f>IF(A427&lt;0,'CAR PROMAX FILIAL CRUZ'!O421," ")</f>
        <v xml:space="preserve"> </v>
      </c>
      <c r="L427" s="36" t="str">
        <f>IF(A427&lt;0,'CAR PROMAX FILIAL CRUZ'!P421," ")</f>
        <v xml:space="preserve"> </v>
      </c>
      <c r="M427" s="36" t="str">
        <f>IF(A427&lt;0,'CAR PROMAX FILIAL CRUZ'!Q421," ")</f>
        <v xml:space="preserve"> </v>
      </c>
      <c r="N427" s="36" t="str">
        <f>IF(A427&lt;0,'CAR PROMAX FILIAL CRUZ'!R421," ")</f>
        <v xml:space="preserve"> </v>
      </c>
      <c r="O427" s="37" t="str">
        <f>IF(A427&lt;0,'CAR PROMAX FILIAL CRUZ'!S421," ")</f>
        <v xml:space="preserve"> </v>
      </c>
      <c r="P427" s="37" t="str">
        <f>IF(A427&lt;0,'CAR PROMAX FILIAL CRUZ'!T421," ")</f>
        <v xml:space="preserve"> </v>
      </c>
      <c r="Q427" s="37" t="str">
        <f>IF(A427&lt;0,'CAR PROMAX FILIAL CRUZ'!U421," ")</f>
        <v xml:space="preserve"> </v>
      </c>
      <c r="R427" s="34" t="str">
        <f>IF(A427&lt;0,'CAR PROMAX FILIAL CRUZ'!V421," ")</f>
        <v xml:space="preserve"> </v>
      </c>
    </row>
    <row r="428" spans="1:18" x14ac:dyDescent="0.25">
      <c r="A428">
        <f>'CAR PROMAX FILIAL CRUZ'!O422</f>
        <v>0</v>
      </c>
      <c r="B428" s="33" t="str">
        <f t="shared" si="15"/>
        <v xml:space="preserve"> </v>
      </c>
      <c r="C428" s="33" t="str">
        <f t="shared" si="14"/>
        <v xml:space="preserve"> </v>
      </c>
      <c r="D428" s="34" t="str">
        <f>IF(A428&lt;0,'CAR PROMAX FILIAL CRUZ'!B422," ")</f>
        <v xml:space="preserve"> </v>
      </c>
      <c r="E428" s="35" t="str">
        <f>IF(A428&lt;0,'CAR PROMAX FILIAL CRUZ'!C422," ")</f>
        <v xml:space="preserve"> </v>
      </c>
      <c r="F428" s="34" t="str">
        <f>IF(A428&lt;0,'CAR PROMAX FILIAL CRUZ'!D422," ")</f>
        <v xml:space="preserve"> </v>
      </c>
      <c r="G428" s="34" t="str">
        <f>IF(A428&lt;0,'CAR PROMAX FILIAL CRUZ'!E422," ")</f>
        <v xml:space="preserve"> </v>
      </c>
      <c r="H428" s="34" t="str">
        <f>IF(A428&lt;0,'CAR PROMAX FILIAL CRUZ'!J422," ")</f>
        <v xml:space="preserve"> </v>
      </c>
      <c r="I428" s="34"/>
      <c r="J428" s="34"/>
      <c r="K428" s="34" t="str">
        <f>IF(A428&lt;0,'CAR PROMAX FILIAL CRUZ'!O422," ")</f>
        <v xml:space="preserve"> </v>
      </c>
      <c r="L428" s="36" t="str">
        <f>IF(A428&lt;0,'CAR PROMAX FILIAL CRUZ'!P422," ")</f>
        <v xml:space="preserve"> </v>
      </c>
      <c r="M428" s="36" t="str">
        <f>IF(A428&lt;0,'CAR PROMAX FILIAL CRUZ'!Q422," ")</f>
        <v xml:space="preserve"> </v>
      </c>
      <c r="N428" s="36" t="str">
        <f>IF(A428&lt;0,'CAR PROMAX FILIAL CRUZ'!R422," ")</f>
        <v xml:space="preserve"> </v>
      </c>
      <c r="O428" s="37" t="str">
        <f>IF(A428&lt;0,'CAR PROMAX FILIAL CRUZ'!S422," ")</f>
        <v xml:space="preserve"> </v>
      </c>
      <c r="P428" s="37" t="str">
        <f>IF(A428&lt;0,'CAR PROMAX FILIAL CRUZ'!T422," ")</f>
        <v xml:space="preserve"> </v>
      </c>
      <c r="Q428" s="37" t="str">
        <f>IF(A428&lt;0,'CAR PROMAX FILIAL CRUZ'!U422," ")</f>
        <v xml:space="preserve"> </v>
      </c>
      <c r="R428" s="34" t="str">
        <f>IF(A428&lt;0,'CAR PROMAX FILIAL CRUZ'!V422," ")</f>
        <v xml:space="preserve"> </v>
      </c>
    </row>
    <row r="429" spans="1:18" x14ac:dyDescent="0.25">
      <c r="A429">
        <f>'CAR PROMAX FILIAL CRUZ'!O423</f>
        <v>0</v>
      </c>
      <c r="B429" s="33" t="str">
        <f t="shared" si="15"/>
        <v xml:space="preserve"> </v>
      </c>
      <c r="C429" s="33" t="str">
        <f t="shared" si="14"/>
        <v xml:space="preserve"> </v>
      </c>
      <c r="D429" s="34" t="str">
        <f>IF(A429&lt;0,'CAR PROMAX FILIAL CRUZ'!B423," ")</f>
        <v xml:space="preserve"> </v>
      </c>
      <c r="E429" s="35" t="str">
        <f>IF(A429&lt;0,'CAR PROMAX FILIAL CRUZ'!C423," ")</f>
        <v xml:space="preserve"> </v>
      </c>
      <c r="F429" s="34" t="str">
        <f>IF(A429&lt;0,'CAR PROMAX FILIAL CRUZ'!D423," ")</f>
        <v xml:space="preserve"> </v>
      </c>
      <c r="G429" s="34" t="str">
        <f>IF(A429&lt;0,'CAR PROMAX FILIAL CRUZ'!E423," ")</f>
        <v xml:space="preserve"> </v>
      </c>
      <c r="H429" s="34" t="str">
        <f>IF(A429&lt;0,'CAR PROMAX FILIAL CRUZ'!J423," ")</f>
        <v xml:space="preserve"> </v>
      </c>
      <c r="I429" s="34"/>
      <c r="J429" s="34"/>
      <c r="K429" s="34" t="str">
        <f>IF(A429&lt;0,'CAR PROMAX FILIAL CRUZ'!O423," ")</f>
        <v xml:space="preserve"> </v>
      </c>
      <c r="L429" s="36" t="str">
        <f>IF(A429&lt;0,'CAR PROMAX FILIAL CRUZ'!P423," ")</f>
        <v xml:space="preserve"> </v>
      </c>
      <c r="M429" s="36" t="str">
        <f>IF(A429&lt;0,'CAR PROMAX FILIAL CRUZ'!Q423," ")</f>
        <v xml:space="preserve"> </v>
      </c>
      <c r="N429" s="36" t="str">
        <f>IF(A429&lt;0,'CAR PROMAX FILIAL CRUZ'!R423," ")</f>
        <v xml:space="preserve"> </v>
      </c>
      <c r="O429" s="37" t="str">
        <f>IF(A429&lt;0,'CAR PROMAX FILIAL CRUZ'!S423," ")</f>
        <v xml:space="preserve"> </v>
      </c>
      <c r="P429" s="37" t="str">
        <f>IF(A429&lt;0,'CAR PROMAX FILIAL CRUZ'!T423," ")</f>
        <v xml:space="preserve"> </v>
      </c>
      <c r="Q429" s="37" t="str">
        <f>IF(A429&lt;0,'CAR PROMAX FILIAL CRUZ'!U423," ")</f>
        <v xml:space="preserve"> </v>
      </c>
      <c r="R429" s="34" t="str">
        <f>IF(A429&lt;0,'CAR PROMAX FILIAL CRUZ'!V423," ")</f>
        <v xml:space="preserve"> </v>
      </c>
    </row>
    <row r="430" spans="1:18" x14ac:dyDescent="0.25">
      <c r="A430">
        <f>'CAR PROMAX FILIAL CRUZ'!O424</f>
        <v>0</v>
      </c>
      <c r="B430" s="33" t="str">
        <f t="shared" si="15"/>
        <v xml:space="preserve"> </v>
      </c>
      <c r="C430" s="33" t="str">
        <f t="shared" si="14"/>
        <v xml:space="preserve"> </v>
      </c>
      <c r="D430" s="34" t="str">
        <f>IF(A430&lt;0,'CAR PROMAX FILIAL CRUZ'!B424," ")</f>
        <v xml:space="preserve"> </v>
      </c>
      <c r="E430" s="35" t="str">
        <f>IF(A430&lt;0,'CAR PROMAX FILIAL CRUZ'!C424," ")</f>
        <v xml:space="preserve"> </v>
      </c>
      <c r="F430" s="34" t="str">
        <f>IF(A430&lt;0,'CAR PROMAX FILIAL CRUZ'!D424," ")</f>
        <v xml:space="preserve"> </v>
      </c>
      <c r="G430" s="34" t="str">
        <f>IF(A430&lt;0,'CAR PROMAX FILIAL CRUZ'!E424," ")</f>
        <v xml:space="preserve"> </v>
      </c>
      <c r="H430" s="34" t="str">
        <f>IF(A430&lt;0,'CAR PROMAX FILIAL CRUZ'!J424," ")</f>
        <v xml:space="preserve"> </v>
      </c>
      <c r="I430" s="34"/>
      <c r="J430" s="34"/>
      <c r="K430" s="34" t="str">
        <f>IF(A430&lt;0,'CAR PROMAX FILIAL CRUZ'!O424," ")</f>
        <v xml:space="preserve"> </v>
      </c>
      <c r="L430" s="36" t="str">
        <f>IF(A430&lt;0,'CAR PROMAX FILIAL CRUZ'!P424," ")</f>
        <v xml:space="preserve"> </v>
      </c>
      <c r="M430" s="36" t="str">
        <f>IF(A430&lt;0,'CAR PROMAX FILIAL CRUZ'!Q424," ")</f>
        <v xml:space="preserve"> </v>
      </c>
      <c r="N430" s="36" t="str">
        <f>IF(A430&lt;0,'CAR PROMAX FILIAL CRUZ'!R424," ")</f>
        <v xml:space="preserve"> </v>
      </c>
      <c r="O430" s="37" t="str">
        <f>IF(A430&lt;0,'CAR PROMAX FILIAL CRUZ'!S424," ")</f>
        <v xml:space="preserve"> </v>
      </c>
      <c r="P430" s="37" t="str">
        <f>IF(A430&lt;0,'CAR PROMAX FILIAL CRUZ'!T424," ")</f>
        <v xml:space="preserve"> </v>
      </c>
      <c r="Q430" s="37" t="str">
        <f>IF(A430&lt;0,'CAR PROMAX FILIAL CRUZ'!U424," ")</f>
        <v xml:space="preserve"> </v>
      </c>
      <c r="R430" s="34" t="str">
        <f>IF(A430&lt;0,'CAR PROMAX FILIAL CRUZ'!V424," ")</f>
        <v xml:space="preserve"> </v>
      </c>
    </row>
    <row r="431" spans="1:18" x14ac:dyDescent="0.25">
      <c r="A431">
        <f>'CAR PROMAX FILIAL CRUZ'!O425</f>
        <v>0</v>
      </c>
      <c r="B431" s="33" t="str">
        <f t="shared" si="15"/>
        <v xml:space="preserve"> </v>
      </c>
      <c r="C431" s="33" t="str">
        <f t="shared" si="14"/>
        <v xml:space="preserve"> </v>
      </c>
      <c r="D431" s="34" t="str">
        <f>IF(A431&lt;0,'CAR PROMAX FILIAL CRUZ'!B425," ")</f>
        <v xml:space="preserve"> </v>
      </c>
      <c r="E431" s="35" t="str">
        <f>IF(A431&lt;0,'CAR PROMAX FILIAL CRUZ'!C425," ")</f>
        <v xml:space="preserve"> </v>
      </c>
      <c r="F431" s="34" t="str">
        <f>IF(A431&lt;0,'CAR PROMAX FILIAL CRUZ'!D425," ")</f>
        <v xml:space="preserve"> </v>
      </c>
      <c r="G431" s="34" t="str">
        <f>IF(A431&lt;0,'CAR PROMAX FILIAL CRUZ'!E425," ")</f>
        <v xml:space="preserve"> </v>
      </c>
      <c r="H431" s="34" t="str">
        <f>IF(A431&lt;0,'CAR PROMAX FILIAL CRUZ'!J425," ")</f>
        <v xml:space="preserve"> </v>
      </c>
      <c r="I431" s="34"/>
      <c r="J431" s="34"/>
      <c r="K431" s="34" t="str">
        <f>IF(A431&lt;0,'CAR PROMAX FILIAL CRUZ'!O425," ")</f>
        <v xml:space="preserve"> </v>
      </c>
      <c r="L431" s="36" t="str">
        <f>IF(A431&lt;0,'CAR PROMAX FILIAL CRUZ'!P425," ")</f>
        <v xml:space="preserve"> </v>
      </c>
      <c r="M431" s="36" t="str">
        <f>IF(A431&lt;0,'CAR PROMAX FILIAL CRUZ'!Q425," ")</f>
        <v xml:space="preserve"> </v>
      </c>
      <c r="N431" s="36" t="str">
        <f>IF(A431&lt;0,'CAR PROMAX FILIAL CRUZ'!R425," ")</f>
        <v xml:space="preserve"> </v>
      </c>
      <c r="O431" s="37" t="str">
        <f>IF(A431&lt;0,'CAR PROMAX FILIAL CRUZ'!S425," ")</f>
        <v xml:space="preserve"> </v>
      </c>
      <c r="P431" s="37" t="str">
        <f>IF(A431&lt;0,'CAR PROMAX FILIAL CRUZ'!T425," ")</f>
        <v xml:space="preserve"> </v>
      </c>
      <c r="Q431" s="37" t="str">
        <f>IF(A431&lt;0,'CAR PROMAX FILIAL CRUZ'!U425," ")</f>
        <v xml:space="preserve"> </v>
      </c>
      <c r="R431" s="34" t="str">
        <f>IF(A431&lt;0,'CAR PROMAX FILIAL CRUZ'!V425," ")</f>
        <v xml:space="preserve"> </v>
      </c>
    </row>
    <row r="432" spans="1:18" x14ac:dyDescent="0.25">
      <c r="A432">
        <f>'CAR PROMAX FILIAL CRUZ'!O426</f>
        <v>0</v>
      </c>
      <c r="B432" s="33" t="str">
        <f t="shared" si="15"/>
        <v xml:space="preserve"> </v>
      </c>
      <c r="C432" s="33" t="str">
        <f t="shared" si="14"/>
        <v xml:space="preserve"> </v>
      </c>
      <c r="D432" s="34" t="str">
        <f>IF(A432&lt;0,'CAR PROMAX FILIAL CRUZ'!B426," ")</f>
        <v xml:space="preserve"> </v>
      </c>
      <c r="E432" s="35" t="str">
        <f>IF(A432&lt;0,'CAR PROMAX FILIAL CRUZ'!C426," ")</f>
        <v xml:space="preserve"> </v>
      </c>
      <c r="F432" s="34" t="str">
        <f>IF(A432&lt;0,'CAR PROMAX FILIAL CRUZ'!D426," ")</f>
        <v xml:space="preserve"> </v>
      </c>
      <c r="G432" s="34" t="str">
        <f>IF(A432&lt;0,'CAR PROMAX FILIAL CRUZ'!E426," ")</f>
        <v xml:space="preserve"> </v>
      </c>
      <c r="H432" s="34" t="str">
        <f>IF(A432&lt;0,'CAR PROMAX FILIAL CRUZ'!J426," ")</f>
        <v xml:space="preserve"> </v>
      </c>
      <c r="I432" s="34"/>
      <c r="J432" s="34"/>
      <c r="K432" s="34" t="str">
        <f>IF(A432&lt;0,'CAR PROMAX FILIAL CRUZ'!O426," ")</f>
        <v xml:space="preserve"> </v>
      </c>
      <c r="L432" s="36" t="str">
        <f>IF(A432&lt;0,'CAR PROMAX FILIAL CRUZ'!P426," ")</f>
        <v xml:space="preserve"> </v>
      </c>
      <c r="M432" s="36" t="str">
        <f>IF(A432&lt;0,'CAR PROMAX FILIAL CRUZ'!Q426," ")</f>
        <v xml:space="preserve"> </v>
      </c>
      <c r="N432" s="36" t="str">
        <f>IF(A432&lt;0,'CAR PROMAX FILIAL CRUZ'!R426," ")</f>
        <v xml:space="preserve"> </v>
      </c>
      <c r="O432" s="37" t="str">
        <f>IF(A432&lt;0,'CAR PROMAX FILIAL CRUZ'!S426," ")</f>
        <v xml:space="preserve"> </v>
      </c>
      <c r="P432" s="37" t="str">
        <f>IF(A432&lt;0,'CAR PROMAX FILIAL CRUZ'!T426," ")</f>
        <v xml:space="preserve"> </v>
      </c>
      <c r="Q432" s="37" t="str">
        <f>IF(A432&lt;0,'CAR PROMAX FILIAL CRUZ'!U426," ")</f>
        <v xml:space="preserve"> </v>
      </c>
      <c r="R432" s="34" t="str">
        <f>IF(A432&lt;0,'CAR PROMAX FILIAL CRUZ'!V426," ")</f>
        <v xml:space="preserve"> </v>
      </c>
    </row>
    <row r="433" spans="1:18" x14ac:dyDescent="0.25">
      <c r="A433">
        <f>'CAR PROMAX FILIAL CRUZ'!O427</f>
        <v>0</v>
      </c>
      <c r="B433" s="33" t="str">
        <f t="shared" si="15"/>
        <v xml:space="preserve"> </v>
      </c>
      <c r="C433" s="33" t="str">
        <f t="shared" si="14"/>
        <v xml:space="preserve"> </v>
      </c>
      <c r="D433" s="34" t="str">
        <f>IF(A433&lt;0,'CAR PROMAX FILIAL CRUZ'!B427," ")</f>
        <v xml:space="preserve"> </v>
      </c>
      <c r="E433" s="35" t="str">
        <f>IF(A433&lt;0,'CAR PROMAX FILIAL CRUZ'!C427," ")</f>
        <v xml:space="preserve"> </v>
      </c>
      <c r="F433" s="34" t="str">
        <f>IF(A433&lt;0,'CAR PROMAX FILIAL CRUZ'!D427," ")</f>
        <v xml:space="preserve"> </v>
      </c>
      <c r="G433" s="34" t="str">
        <f>IF(A433&lt;0,'CAR PROMAX FILIAL CRUZ'!E427," ")</f>
        <v xml:space="preserve"> </v>
      </c>
      <c r="H433" s="34" t="str">
        <f>IF(A433&lt;0,'CAR PROMAX FILIAL CRUZ'!J427," ")</f>
        <v xml:space="preserve"> </v>
      </c>
      <c r="I433" s="34"/>
      <c r="J433" s="34"/>
      <c r="K433" s="34" t="str">
        <f>IF(A433&lt;0,'CAR PROMAX FILIAL CRUZ'!O427," ")</f>
        <v xml:space="preserve"> </v>
      </c>
      <c r="L433" s="36" t="str">
        <f>IF(A433&lt;0,'CAR PROMAX FILIAL CRUZ'!P427," ")</f>
        <v xml:space="preserve"> </v>
      </c>
      <c r="M433" s="36" t="str">
        <f>IF(A433&lt;0,'CAR PROMAX FILIAL CRUZ'!Q427," ")</f>
        <v xml:space="preserve"> </v>
      </c>
      <c r="N433" s="36" t="str">
        <f>IF(A433&lt;0,'CAR PROMAX FILIAL CRUZ'!R427," ")</f>
        <v xml:space="preserve"> </v>
      </c>
      <c r="O433" s="37" t="str">
        <f>IF(A433&lt;0,'CAR PROMAX FILIAL CRUZ'!S427," ")</f>
        <v xml:space="preserve"> </v>
      </c>
      <c r="P433" s="37" t="str">
        <f>IF(A433&lt;0,'CAR PROMAX FILIAL CRUZ'!T427," ")</f>
        <v xml:space="preserve"> </v>
      </c>
      <c r="Q433" s="37" t="str">
        <f>IF(A433&lt;0,'CAR PROMAX FILIAL CRUZ'!U427," ")</f>
        <v xml:space="preserve"> </v>
      </c>
      <c r="R433" s="34" t="str">
        <f>IF(A433&lt;0,'CAR PROMAX FILIAL CRUZ'!V427," ")</f>
        <v xml:space="preserve"> </v>
      </c>
    </row>
    <row r="434" spans="1:18" x14ac:dyDescent="0.25">
      <c r="A434">
        <f>'CAR PROMAX FILIAL CRUZ'!O428</f>
        <v>0</v>
      </c>
      <c r="B434" s="33" t="str">
        <f t="shared" si="15"/>
        <v xml:space="preserve"> </v>
      </c>
      <c r="C434" s="33" t="str">
        <f t="shared" si="14"/>
        <v xml:space="preserve"> </v>
      </c>
      <c r="D434" s="34" t="str">
        <f>IF(A434&lt;0,'CAR PROMAX FILIAL CRUZ'!B428," ")</f>
        <v xml:space="preserve"> </v>
      </c>
      <c r="E434" s="35" t="str">
        <f>IF(A434&lt;0,'CAR PROMAX FILIAL CRUZ'!C428," ")</f>
        <v xml:space="preserve"> </v>
      </c>
      <c r="F434" s="34" t="str">
        <f>IF(A434&lt;0,'CAR PROMAX FILIAL CRUZ'!D428," ")</f>
        <v xml:space="preserve"> </v>
      </c>
      <c r="G434" s="34" t="str">
        <f>IF(A434&lt;0,'CAR PROMAX FILIAL CRUZ'!E428," ")</f>
        <v xml:space="preserve"> </v>
      </c>
      <c r="H434" s="34" t="str">
        <f>IF(A434&lt;0,'CAR PROMAX FILIAL CRUZ'!J428," ")</f>
        <v xml:space="preserve"> </v>
      </c>
      <c r="I434" s="34"/>
      <c r="J434" s="34"/>
      <c r="K434" s="34" t="str">
        <f>IF(A434&lt;0,'CAR PROMAX FILIAL CRUZ'!O428," ")</f>
        <v xml:space="preserve"> </v>
      </c>
      <c r="L434" s="36" t="str">
        <f>IF(A434&lt;0,'CAR PROMAX FILIAL CRUZ'!P428," ")</f>
        <v xml:space="preserve"> </v>
      </c>
      <c r="M434" s="36" t="str">
        <f>IF(A434&lt;0,'CAR PROMAX FILIAL CRUZ'!Q428," ")</f>
        <v xml:space="preserve"> </v>
      </c>
      <c r="N434" s="36" t="str">
        <f>IF(A434&lt;0,'CAR PROMAX FILIAL CRUZ'!R428," ")</f>
        <v xml:space="preserve"> </v>
      </c>
      <c r="O434" s="37" t="str">
        <f>IF(A434&lt;0,'CAR PROMAX FILIAL CRUZ'!S428," ")</f>
        <v xml:space="preserve"> </v>
      </c>
      <c r="P434" s="37" t="str">
        <f>IF(A434&lt;0,'CAR PROMAX FILIAL CRUZ'!T428," ")</f>
        <v xml:space="preserve"> </v>
      </c>
      <c r="Q434" s="37" t="str">
        <f>IF(A434&lt;0,'CAR PROMAX FILIAL CRUZ'!U428," ")</f>
        <v xml:space="preserve"> </v>
      </c>
      <c r="R434" s="34" t="str">
        <f>IF(A434&lt;0,'CAR PROMAX FILIAL CRUZ'!V428," ")</f>
        <v xml:space="preserve"> </v>
      </c>
    </row>
    <row r="435" spans="1:18" x14ac:dyDescent="0.25">
      <c r="A435">
        <f>'CAR PROMAX FILIAL CRUZ'!O429</f>
        <v>0</v>
      </c>
      <c r="B435" s="33" t="str">
        <f t="shared" si="15"/>
        <v xml:space="preserve"> </v>
      </c>
      <c r="C435" s="33" t="str">
        <f t="shared" si="14"/>
        <v xml:space="preserve"> </v>
      </c>
      <c r="D435" s="34" t="str">
        <f>IF(A435&lt;0,'CAR PROMAX FILIAL CRUZ'!B429," ")</f>
        <v xml:space="preserve"> </v>
      </c>
      <c r="E435" s="35" t="str">
        <f>IF(A435&lt;0,'CAR PROMAX FILIAL CRUZ'!C429," ")</f>
        <v xml:space="preserve"> </v>
      </c>
      <c r="F435" s="34" t="str">
        <f>IF(A435&lt;0,'CAR PROMAX FILIAL CRUZ'!D429," ")</f>
        <v xml:space="preserve"> </v>
      </c>
      <c r="G435" s="34" t="str">
        <f>IF(A435&lt;0,'CAR PROMAX FILIAL CRUZ'!E429," ")</f>
        <v xml:space="preserve"> </v>
      </c>
      <c r="H435" s="34" t="str">
        <f>IF(A435&lt;0,'CAR PROMAX FILIAL CRUZ'!J429," ")</f>
        <v xml:space="preserve"> </v>
      </c>
      <c r="I435" s="34"/>
      <c r="J435" s="34"/>
      <c r="K435" s="34" t="str">
        <f>IF(A435&lt;0,'CAR PROMAX FILIAL CRUZ'!O429," ")</f>
        <v xml:space="preserve"> </v>
      </c>
      <c r="L435" s="36" t="str">
        <f>IF(A435&lt;0,'CAR PROMAX FILIAL CRUZ'!P429," ")</f>
        <v xml:space="preserve"> </v>
      </c>
      <c r="M435" s="36" t="str">
        <f>IF(A435&lt;0,'CAR PROMAX FILIAL CRUZ'!Q429," ")</f>
        <v xml:space="preserve"> </v>
      </c>
      <c r="N435" s="36" t="str">
        <f>IF(A435&lt;0,'CAR PROMAX FILIAL CRUZ'!R429," ")</f>
        <v xml:space="preserve"> </v>
      </c>
      <c r="O435" s="37" t="str">
        <f>IF(A435&lt;0,'CAR PROMAX FILIAL CRUZ'!S429," ")</f>
        <v xml:space="preserve"> </v>
      </c>
      <c r="P435" s="37" t="str">
        <f>IF(A435&lt;0,'CAR PROMAX FILIAL CRUZ'!T429," ")</f>
        <v xml:space="preserve"> </v>
      </c>
      <c r="Q435" s="37" t="str">
        <f>IF(A435&lt;0,'CAR PROMAX FILIAL CRUZ'!U429," ")</f>
        <v xml:space="preserve"> </v>
      </c>
      <c r="R435" s="34" t="str">
        <f>IF(A435&lt;0,'CAR PROMAX FILIAL CRUZ'!V429," ")</f>
        <v xml:space="preserve"> </v>
      </c>
    </row>
    <row r="436" spans="1:18" x14ac:dyDescent="0.25">
      <c r="A436">
        <f>'CAR PROMAX FILIAL CRUZ'!O430</f>
        <v>0</v>
      </c>
      <c r="B436" s="33" t="str">
        <f t="shared" si="15"/>
        <v xml:space="preserve"> </v>
      </c>
      <c r="C436" s="33" t="str">
        <f t="shared" si="14"/>
        <v xml:space="preserve"> </v>
      </c>
      <c r="D436" s="34" t="str">
        <f>IF(A436&lt;0,'CAR PROMAX FILIAL CRUZ'!B430," ")</f>
        <v xml:space="preserve"> </v>
      </c>
      <c r="E436" s="35" t="str">
        <f>IF(A436&lt;0,'CAR PROMAX FILIAL CRUZ'!C430," ")</f>
        <v xml:space="preserve"> </v>
      </c>
      <c r="F436" s="34" t="str">
        <f>IF(A436&lt;0,'CAR PROMAX FILIAL CRUZ'!D430," ")</f>
        <v xml:space="preserve"> </v>
      </c>
      <c r="G436" s="34" t="str">
        <f>IF(A436&lt;0,'CAR PROMAX FILIAL CRUZ'!E430," ")</f>
        <v xml:space="preserve"> </v>
      </c>
      <c r="H436" s="34" t="str">
        <f>IF(A436&lt;0,'CAR PROMAX FILIAL CRUZ'!J430," ")</f>
        <v xml:space="preserve"> </v>
      </c>
      <c r="I436" s="34"/>
      <c r="J436" s="34"/>
      <c r="K436" s="34" t="str">
        <f>IF(A436&lt;0,'CAR PROMAX FILIAL CRUZ'!O430," ")</f>
        <v xml:space="preserve"> </v>
      </c>
      <c r="L436" s="36" t="str">
        <f>IF(A436&lt;0,'CAR PROMAX FILIAL CRUZ'!P430," ")</f>
        <v xml:space="preserve"> </v>
      </c>
      <c r="M436" s="36" t="str">
        <f>IF(A436&lt;0,'CAR PROMAX FILIAL CRUZ'!Q430," ")</f>
        <v xml:space="preserve"> </v>
      </c>
      <c r="N436" s="36" t="str">
        <f>IF(A436&lt;0,'CAR PROMAX FILIAL CRUZ'!R430," ")</f>
        <v xml:space="preserve"> </v>
      </c>
      <c r="O436" s="37" t="str">
        <f>IF(A436&lt;0,'CAR PROMAX FILIAL CRUZ'!S430," ")</f>
        <v xml:space="preserve"> </v>
      </c>
      <c r="P436" s="37" t="str">
        <f>IF(A436&lt;0,'CAR PROMAX FILIAL CRUZ'!T430," ")</f>
        <v xml:space="preserve"> </v>
      </c>
      <c r="Q436" s="37" t="str">
        <f>IF(A436&lt;0,'CAR PROMAX FILIAL CRUZ'!U430," ")</f>
        <v xml:space="preserve"> </v>
      </c>
      <c r="R436" s="34" t="str">
        <f>IF(A436&lt;0,'CAR PROMAX FILIAL CRUZ'!V430," ")</f>
        <v xml:space="preserve"> </v>
      </c>
    </row>
    <row r="437" spans="1:18" x14ac:dyDescent="0.25">
      <c r="A437">
        <f>'CAR PROMAX FILIAL CRUZ'!O431</f>
        <v>0</v>
      </c>
      <c r="B437" s="33" t="str">
        <f t="shared" si="15"/>
        <v xml:space="preserve"> </v>
      </c>
      <c r="C437" s="33" t="str">
        <f t="shared" si="14"/>
        <v xml:space="preserve"> </v>
      </c>
      <c r="D437" s="34" t="str">
        <f>IF(A437&lt;0,'CAR PROMAX FILIAL CRUZ'!B431," ")</f>
        <v xml:space="preserve"> </v>
      </c>
      <c r="E437" s="35" t="str">
        <f>IF(A437&lt;0,'CAR PROMAX FILIAL CRUZ'!C431," ")</f>
        <v xml:space="preserve"> </v>
      </c>
      <c r="F437" s="34" t="str">
        <f>IF(A437&lt;0,'CAR PROMAX FILIAL CRUZ'!D431," ")</f>
        <v xml:space="preserve"> </v>
      </c>
      <c r="G437" s="34" t="str">
        <f>IF(A437&lt;0,'CAR PROMAX FILIAL CRUZ'!E431," ")</f>
        <v xml:space="preserve"> </v>
      </c>
      <c r="H437" s="34" t="str">
        <f>IF(A437&lt;0,'CAR PROMAX FILIAL CRUZ'!J431," ")</f>
        <v xml:space="preserve"> </v>
      </c>
      <c r="I437" s="34"/>
      <c r="J437" s="34"/>
      <c r="K437" s="34" t="str">
        <f>IF(A437&lt;0,'CAR PROMAX FILIAL CRUZ'!O431," ")</f>
        <v xml:space="preserve"> </v>
      </c>
      <c r="L437" s="36" t="str">
        <f>IF(A437&lt;0,'CAR PROMAX FILIAL CRUZ'!P431," ")</f>
        <v xml:space="preserve"> </v>
      </c>
      <c r="M437" s="36" t="str">
        <f>IF(A437&lt;0,'CAR PROMAX FILIAL CRUZ'!Q431," ")</f>
        <v xml:space="preserve"> </v>
      </c>
      <c r="N437" s="36" t="str">
        <f>IF(A437&lt;0,'CAR PROMAX FILIAL CRUZ'!R431," ")</f>
        <v xml:space="preserve"> </v>
      </c>
      <c r="O437" s="37" t="str">
        <f>IF(A437&lt;0,'CAR PROMAX FILIAL CRUZ'!S431," ")</f>
        <v xml:space="preserve"> </v>
      </c>
      <c r="P437" s="37" t="str">
        <f>IF(A437&lt;0,'CAR PROMAX FILIAL CRUZ'!T431," ")</f>
        <v xml:space="preserve"> </v>
      </c>
      <c r="Q437" s="37" t="str">
        <f>IF(A437&lt;0,'CAR PROMAX FILIAL CRUZ'!U431," ")</f>
        <v xml:space="preserve"> </v>
      </c>
      <c r="R437" s="34" t="str">
        <f>IF(A437&lt;0,'CAR PROMAX FILIAL CRUZ'!V431," ")</f>
        <v xml:space="preserve"> </v>
      </c>
    </row>
    <row r="438" spans="1:18" x14ac:dyDescent="0.25">
      <c r="A438">
        <f>'CAR PROMAX FILIAL CRUZ'!O432</f>
        <v>0</v>
      </c>
      <c r="B438" s="33" t="str">
        <f t="shared" si="15"/>
        <v xml:space="preserve"> </v>
      </c>
      <c r="C438" s="33" t="str">
        <f t="shared" si="14"/>
        <v xml:space="preserve"> </v>
      </c>
      <c r="D438" s="34" t="str">
        <f>IF(A438&lt;0,'CAR PROMAX FILIAL CRUZ'!B432," ")</f>
        <v xml:space="preserve"> </v>
      </c>
      <c r="E438" s="35" t="str">
        <f>IF(A438&lt;0,'CAR PROMAX FILIAL CRUZ'!C432," ")</f>
        <v xml:space="preserve"> </v>
      </c>
      <c r="F438" s="34" t="str">
        <f>IF(A438&lt;0,'CAR PROMAX FILIAL CRUZ'!D432," ")</f>
        <v xml:space="preserve"> </v>
      </c>
      <c r="G438" s="34" t="str">
        <f>IF(A438&lt;0,'CAR PROMAX FILIAL CRUZ'!E432," ")</f>
        <v xml:space="preserve"> </v>
      </c>
      <c r="H438" s="34" t="str">
        <f>IF(A438&lt;0,'CAR PROMAX FILIAL CRUZ'!J432," ")</f>
        <v xml:space="preserve"> </v>
      </c>
      <c r="I438" s="34"/>
      <c r="J438" s="34"/>
      <c r="K438" s="34" t="str">
        <f>IF(A438&lt;0,'CAR PROMAX FILIAL CRUZ'!O432," ")</f>
        <v xml:space="preserve"> </v>
      </c>
      <c r="L438" s="36" t="str">
        <f>IF(A438&lt;0,'CAR PROMAX FILIAL CRUZ'!P432," ")</f>
        <v xml:space="preserve"> </v>
      </c>
      <c r="M438" s="36" t="str">
        <f>IF(A438&lt;0,'CAR PROMAX FILIAL CRUZ'!Q432," ")</f>
        <v xml:space="preserve"> </v>
      </c>
      <c r="N438" s="36" t="str">
        <f>IF(A438&lt;0,'CAR PROMAX FILIAL CRUZ'!R432," ")</f>
        <v xml:space="preserve"> </v>
      </c>
      <c r="O438" s="37" t="str">
        <f>IF(A438&lt;0,'CAR PROMAX FILIAL CRUZ'!S432," ")</f>
        <v xml:space="preserve"> </v>
      </c>
      <c r="P438" s="37" t="str">
        <f>IF(A438&lt;0,'CAR PROMAX FILIAL CRUZ'!T432," ")</f>
        <v xml:space="preserve"> </v>
      </c>
      <c r="Q438" s="37" t="str">
        <f>IF(A438&lt;0,'CAR PROMAX FILIAL CRUZ'!U432," ")</f>
        <v xml:space="preserve"> </v>
      </c>
      <c r="R438" s="34" t="str">
        <f>IF(A438&lt;0,'CAR PROMAX FILIAL CRUZ'!V432," ")</f>
        <v xml:space="preserve"> </v>
      </c>
    </row>
    <row r="439" spans="1:18" x14ac:dyDescent="0.25">
      <c r="A439">
        <f>'CAR PROMAX FILIAL CRUZ'!O433</f>
        <v>0</v>
      </c>
      <c r="B439" s="33" t="str">
        <f t="shared" si="15"/>
        <v xml:space="preserve"> </v>
      </c>
      <c r="C439" s="33" t="str">
        <f t="shared" si="14"/>
        <v xml:space="preserve"> </v>
      </c>
      <c r="D439" s="34" t="str">
        <f>IF(A439&lt;0,'CAR PROMAX FILIAL CRUZ'!B433," ")</f>
        <v xml:space="preserve"> </v>
      </c>
      <c r="E439" s="35" t="str">
        <f>IF(A439&lt;0,'CAR PROMAX FILIAL CRUZ'!C433," ")</f>
        <v xml:space="preserve"> </v>
      </c>
      <c r="F439" s="34" t="str">
        <f>IF(A439&lt;0,'CAR PROMAX FILIAL CRUZ'!D433," ")</f>
        <v xml:space="preserve"> </v>
      </c>
      <c r="G439" s="34" t="str">
        <f>IF(A439&lt;0,'CAR PROMAX FILIAL CRUZ'!E433," ")</f>
        <v xml:space="preserve"> </v>
      </c>
      <c r="H439" s="34" t="str">
        <f>IF(A439&lt;0,'CAR PROMAX FILIAL CRUZ'!J433," ")</f>
        <v xml:space="preserve"> </v>
      </c>
      <c r="I439" s="34"/>
      <c r="J439" s="34"/>
      <c r="K439" s="34" t="str">
        <f>IF(A439&lt;0,'CAR PROMAX FILIAL CRUZ'!O433," ")</f>
        <v xml:space="preserve"> </v>
      </c>
      <c r="L439" s="36" t="str">
        <f>IF(A439&lt;0,'CAR PROMAX FILIAL CRUZ'!P433," ")</f>
        <v xml:space="preserve"> </v>
      </c>
      <c r="M439" s="36" t="str">
        <f>IF(A439&lt;0,'CAR PROMAX FILIAL CRUZ'!Q433," ")</f>
        <v xml:space="preserve"> </v>
      </c>
      <c r="N439" s="36" t="str">
        <f>IF(A439&lt;0,'CAR PROMAX FILIAL CRUZ'!R433," ")</f>
        <v xml:space="preserve"> </v>
      </c>
      <c r="O439" s="37" t="str">
        <f>IF(A439&lt;0,'CAR PROMAX FILIAL CRUZ'!S433," ")</f>
        <v xml:space="preserve"> </v>
      </c>
      <c r="P439" s="37" t="str">
        <f>IF(A439&lt;0,'CAR PROMAX FILIAL CRUZ'!T433," ")</f>
        <v xml:space="preserve"> </v>
      </c>
      <c r="Q439" s="37" t="str">
        <f>IF(A439&lt;0,'CAR PROMAX FILIAL CRUZ'!U433," ")</f>
        <v xml:space="preserve"> </v>
      </c>
      <c r="R439" s="34" t="str">
        <f>IF(A439&lt;0,'CAR PROMAX FILIAL CRUZ'!V433," ")</f>
        <v xml:space="preserve"> </v>
      </c>
    </row>
    <row r="440" spans="1:18" x14ac:dyDescent="0.25">
      <c r="A440">
        <f>'CAR PROMAX FILIAL CRUZ'!O434</f>
        <v>0</v>
      </c>
      <c r="B440" s="33" t="str">
        <f t="shared" si="15"/>
        <v xml:space="preserve"> </v>
      </c>
      <c r="C440" s="33" t="str">
        <f t="shared" si="14"/>
        <v xml:space="preserve"> </v>
      </c>
      <c r="D440" s="34" t="str">
        <f>IF(A440&lt;0,'CAR PROMAX FILIAL CRUZ'!B434," ")</f>
        <v xml:space="preserve"> </v>
      </c>
      <c r="E440" s="35" t="str">
        <f>IF(A440&lt;0,'CAR PROMAX FILIAL CRUZ'!C434," ")</f>
        <v xml:space="preserve"> </v>
      </c>
      <c r="F440" s="34" t="str">
        <f>IF(A440&lt;0,'CAR PROMAX FILIAL CRUZ'!D434," ")</f>
        <v xml:space="preserve"> </v>
      </c>
      <c r="G440" s="34" t="str">
        <f>IF(A440&lt;0,'CAR PROMAX FILIAL CRUZ'!E434," ")</f>
        <v xml:space="preserve"> </v>
      </c>
      <c r="H440" s="34" t="str">
        <f>IF(A440&lt;0,'CAR PROMAX FILIAL CRUZ'!J434," ")</f>
        <v xml:space="preserve"> </v>
      </c>
      <c r="I440" s="34"/>
      <c r="J440" s="34"/>
      <c r="K440" s="34" t="str">
        <f>IF(A440&lt;0,'CAR PROMAX FILIAL CRUZ'!O434," ")</f>
        <v xml:space="preserve"> </v>
      </c>
      <c r="L440" s="36" t="str">
        <f>IF(A440&lt;0,'CAR PROMAX FILIAL CRUZ'!P434," ")</f>
        <v xml:space="preserve"> </v>
      </c>
      <c r="M440" s="36" t="str">
        <f>IF(A440&lt;0,'CAR PROMAX FILIAL CRUZ'!Q434," ")</f>
        <v xml:space="preserve"> </v>
      </c>
      <c r="N440" s="36" t="str">
        <f>IF(A440&lt;0,'CAR PROMAX FILIAL CRUZ'!R434," ")</f>
        <v xml:space="preserve"> </v>
      </c>
      <c r="O440" s="37" t="str">
        <f>IF(A440&lt;0,'CAR PROMAX FILIAL CRUZ'!S434," ")</f>
        <v xml:space="preserve"> </v>
      </c>
      <c r="P440" s="37" t="str">
        <f>IF(A440&lt;0,'CAR PROMAX FILIAL CRUZ'!T434," ")</f>
        <v xml:space="preserve"> </v>
      </c>
      <c r="Q440" s="37" t="str">
        <f>IF(A440&lt;0,'CAR PROMAX FILIAL CRUZ'!U434," ")</f>
        <v xml:space="preserve"> </v>
      </c>
      <c r="R440" s="34" t="str">
        <f>IF(A440&lt;0,'CAR PROMAX FILIAL CRUZ'!V434," ")</f>
        <v xml:space="preserve"> </v>
      </c>
    </row>
    <row r="441" spans="1:18" x14ac:dyDescent="0.25">
      <c r="A441">
        <f>'CAR PROMAX FILIAL CRUZ'!O435</f>
        <v>0</v>
      </c>
      <c r="B441" s="33" t="str">
        <f t="shared" si="15"/>
        <v xml:space="preserve"> </v>
      </c>
      <c r="C441" s="33" t="str">
        <f t="shared" si="14"/>
        <v xml:space="preserve"> </v>
      </c>
      <c r="D441" s="34" t="str">
        <f>IF(A441&lt;0,'CAR PROMAX FILIAL CRUZ'!B435," ")</f>
        <v xml:space="preserve"> </v>
      </c>
      <c r="E441" s="35" t="str">
        <f>IF(A441&lt;0,'CAR PROMAX FILIAL CRUZ'!C435," ")</f>
        <v xml:space="preserve"> </v>
      </c>
      <c r="F441" s="34" t="str">
        <f>IF(A441&lt;0,'CAR PROMAX FILIAL CRUZ'!D435," ")</f>
        <v xml:space="preserve"> </v>
      </c>
      <c r="G441" s="34" t="str">
        <f>IF(A441&lt;0,'CAR PROMAX FILIAL CRUZ'!E435," ")</f>
        <v xml:space="preserve"> </v>
      </c>
      <c r="H441" s="34" t="str">
        <f>IF(A441&lt;0,'CAR PROMAX FILIAL CRUZ'!J435," ")</f>
        <v xml:space="preserve"> </v>
      </c>
      <c r="I441" s="34"/>
      <c r="J441" s="34"/>
      <c r="K441" s="34" t="str">
        <f>IF(A441&lt;0,'CAR PROMAX FILIAL CRUZ'!O435," ")</f>
        <v xml:space="preserve"> </v>
      </c>
      <c r="L441" s="36" t="str">
        <f>IF(A441&lt;0,'CAR PROMAX FILIAL CRUZ'!P435," ")</f>
        <v xml:space="preserve"> </v>
      </c>
      <c r="M441" s="36" t="str">
        <f>IF(A441&lt;0,'CAR PROMAX FILIAL CRUZ'!Q435," ")</f>
        <v xml:space="preserve"> </v>
      </c>
      <c r="N441" s="36" t="str">
        <f>IF(A441&lt;0,'CAR PROMAX FILIAL CRUZ'!R435," ")</f>
        <v xml:space="preserve"> </v>
      </c>
      <c r="O441" s="37" t="str">
        <f>IF(A441&lt;0,'CAR PROMAX FILIAL CRUZ'!S435," ")</f>
        <v xml:space="preserve"> </v>
      </c>
      <c r="P441" s="37" t="str">
        <f>IF(A441&lt;0,'CAR PROMAX FILIAL CRUZ'!T435," ")</f>
        <v xml:space="preserve"> </v>
      </c>
      <c r="Q441" s="37" t="str">
        <f>IF(A441&lt;0,'CAR PROMAX FILIAL CRUZ'!U435," ")</f>
        <v xml:space="preserve"> </v>
      </c>
      <c r="R441" s="34" t="str">
        <f>IF(A441&lt;0,'CAR PROMAX FILIAL CRUZ'!V435," ")</f>
        <v xml:space="preserve"> </v>
      </c>
    </row>
    <row r="442" spans="1:18" x14ac:dyDescent="0.25">
      <c r="A442">
        <f>'CAR PROMAX FILIAL CRUZ'!O436</f>
        <v>0</v>
      </c>
      <c r="B442" s="33" t="str">
        <f t="shared" si="15"/>
        <v xml:space="preserve"> </v>
      </c>
      <c r="C442" s="33" t="str">
        <f t="shared" si="14"/>
        <v xml:space="preserve"> </v>
      </c>
      <c r="D442" s="34" t="str">
        <f>IF(A442&lt;0,'CAR PROMAX FILIAL CRUZ'!B436," ")</f>
        <v xml:space="preserve"> </v>
      </c>
      <c r="E442" s="35" t="str">
        <f>IF(A442&lt;0,'CAR PROMAX FILIAL CRUZ'!C436," ")</f>
        <v xml:space="preserve"> </v>
      </c>
      <c r="F442" s="34" t="str">
        <f>IF(A442&lt;0,'CAR PROMAX FILIAL CRUZ'!D436," ")</f>
        <v xml:space="preserve"> </v>
      </c>
      <c r="G442" s="34" t="str">
        <f>IF(A442&lt;0,'CAR PROMAX FILIAL CRUZ'!E436," ")</f>
        <v xml:space="preserve"> </v>
      </c>
      <c r="H442" s="34" t="str">
        <f>IF(A442&lt;0,'CAR PROMAX FILIAL CRUZ'!J436," ")</f>
        <v xml:space="preserve"> </v>
      </c>
      <c r="I442" s="34"/>
      <c r="J442" s="34"/>
      <c r="K442" s="34" t="str">
        <f>IF(A442&lt;0,'CAR PROMAX FILIAL CRUZ'!O436," ")</f>
        <v xml:space="preserve"> </v>
      </c>
      <c r="L442" s="36" t="str">
        <f>IF(A442&lt;0,'CAR PROMAX FILIAL CRUZ'!P436," ")</f>
        <v xml:space="preserve"> </v>
      </c>
      <c r="M442" s="36" t="str">
        <f>IF(A442&lt;0,'CAR PROMAX FILIAL CRUZ'!Q436," ")</f>
        <v xml:space="preserve"> </v>
      </c>
      <c r="N442" s="36" t="str">
        <f>IF(A442&lt;0,'CAR PROMAX FILIAL CRUZ'!R436," ")</f>
        <v xml:space="preserve"> </v>
      </c>
      <c r="O442" s="37" t="str">
        <f>IF(A442&lt;0,'CAR PROMAX FILIAL CRUZ'!S436," ")</f>
        <v xml:space="preserve"> </v>
      </c>
      <c r="P442" s="37" t="str">
        <f>IF(A442&lt;0,'CAR PROMAX FILIAL CRUZ'!T436," ")</f>
        <v xml:space="preserve"> </v>
      </c>
      <c r="Q442" s="37" t="str">
        <f>IF(A442&lt;0,'CAR PROMAX FILIAL CRUZ'!U436," ")</f>
        <v xml:space="preserve"> </v>
      </c>
      <c r="R442" s="34" t="str">
        <f>IF(A442&lt;0,'CAR PROMAX FILIAL CRUZ'!V436," ")</f>
        <v xml:space="preserve"> </v>
      </c>
    </row>
    <row r="443" spans="1:18" x14ac:dyDescent="0.25">
      <c r="A443">
        <f>'CAR PROMAX FILIAL CRUZ'!O437</f>
        <v>0</v>
      </c>
      <c r="B443" s="33" t="str">
        <f t="shared" si="15"/>
        <v xml:space="preserve"> </v>
      </c>
      <c r="C443" s="33" t="str">
        <f t="shared" si="14"/>
        <v xml:space="preserve"> </v>
      </c>
      <c r="D443" s="34" t="str">
        <f>IF(A443&lt;0,'CAR PROMAX FILIAL CRUZ'!B437," ")</f>
        <v xml:space="preserve"> </v>
      </c>
      <c r="E443" s="35" t="str">
        <f>IF(A443&lt;0,'CAR PROMAX FILIAL CRUZ'!C437," ")</f>
        <v xml:space="preserve"> </v>
      </c>
      <c r="F443" s="34" t="str">
        <f>IF(A443&lt;0,'CAR PROMAX FILIAL CRUZ'!D437," ")</f>
        <v xml:space="preserve"> </v>
      </c>
      <c r="G443" s="34" t="str">
        <f>IF(A443&lt;0,'CAR PROMAX FILIAL CRUZ'!E437," ")</f>
        <v xml:space="preserve"> </v>
      </c>
      <c r="H443" s="34" t="str">
        <f>IF(A443&lt;0,'CAR PROMAX FILIAL CRUZ'!J437," ")</f>
        <v xml:space="preserve"> </v>
      </c>
      <c r="I443" s="34"/>
      <c r="J443" s="34"/>
      <c r="K443" s="34" t="str">
        <f>IF(A443&lt;0,'CAR PROMAX FILIAL CRUZ'!O437," ")</f>
        <v xml:space="preserve"> </v>
      </c>
      <c r="L443" s="36" t="str">
        <f>IF(A443&lt;0,'CAR PROMAX FILIAL CRUZ'!P437," ")</f>
        <v xml:space="preserve"> </v>
      </c>
      <c r="M443" s="36" t="str">
        <f>IF(A443&lt;0,'CAR PROMAX FILIAL CRUZ'!Q437," ")</f>
        <v xml:space="preserve"> </v>
      </c>
      <c r="N443" s="36" t="str">
        <f>IF(A443&lt;0,'CAR PROMAX FILIAL CRUZ'!R437," ")</f>
        <v xml:space="preserve"> </v>
      </c>
      <c r="O443" s="37" t="str">
        <f>IF(A443&lt;0,'CAR PROMAX FILIAL CRUZ'!S437," ")</f>
        <v xml:space="preserve"> </v>
      </c>
      <c r="P443" s="37" t="str">
        <f>IF(A443&lt;0,'CAR PROMAX FILIAL CRUZ'!T437," ")</f>
        <v xml:space="preserve"> </v>
      </c>
      <c r="Q443" s="37" t="str">
        <f>IF(A443&lt;0,'CAR PROMAX FILIAL CRUZ'!U437," ")</f>
        <v xml:space="preserve"> </v>
      </c>
      <c r="R443" s="34" t="str">
        <f>IF(A443&lt;0,'CAR PROMAX FILIAL CRUZ'!V437," ")</f>
        <v xml:space="preserve"> </v>
      </c>
    </row>
    <row r="444" spans="1:18" x14ac:dyDescent="0.25">
      <c r="A444">
        <f>'CAR PROMAX FILIAL CRUZ'!O438</f>
        <v>0</v>
      </c>
      <c r="B444" s="33" t="str">
        <f t="shared" si="15"/>
        <v xml:space="preserve"> </v>
      </c>
      <c r="C444" s="33" t="str">
        <f t="shared" si="14"/>
        <v xml:space="preserve"> </v>
      </c>
      <c r="D444" s="34" t="str">
        <f>IF(A444&lt;0,'CAR PROMAX FILIAL CRUZ'!B438," ")</f>
        <v xml:space="preserve"> </v>
      </c>
      <c r="E444" s="35" t="str">
        <f>IF(A444&lt;0,'CAR PROMAX FILIAL CRUZ'!C438," ")</f>
        <v xml:space="preserve"> </v>
      </c>
      <c r="F444" s="34" t="str">
        <f>IF(A444&lt;0,'CAR PROMAX FILIAL CRUZ'!D438," ")</f>
        <v xml:space="preserve"> </v>
      </c>
      <c r="G444" s="34" t="str">
        <f>IF(A444&lt;0,'CAR PROMAX FILIAL CRUZ'!E438," ")</f>
        <v xml:space="preserve"> </v>
      </c>
      <c r="H444" s="34" t="str">
        <f>IF(A444&lt;0,'CAR PROMAX FILIAL CRUZ'!J438," ")</f>
        <v xml:space="preserve"> </v>
      </c>
      <c r="I444" s="34"/>
      <c r="J444" s="34"/>
      <c r="K444" s="34" t="str">
        <f>IF(A444&lt;0,'CAR PROMAX FILIAL CRUZ'!O438," ")</f>
        <v xml:space="preserve"> </v>
      </c>
      <c r="L444" s="36" t="str">
        <f>IF(A444&lt;0,'CAR PROMAX FILIAL CRUZ'!P438," ")</f>
        <v xml:space="preserve"> </v>
      </c>
      <c r="M444" s="36" t="str">
        <f>IF(A444&lt;0,'CAR PROMAX FILIAL CRUZ'!Q438," ")</f>
        <v xml:space="preserve"> </v>
      </c>
      <c r="N444" s="36" t="str">
        <f>IF(A444&lt;0,'CAR PROMAX FILIAL CRUZ'!R438," ")</f>
        <v xml:space="preserve"> </v>
      </c>
      <c r="O444" s="37" t="str">
        <f>IF(A444&lt;0,'CAR PROMAX FILIAL CRUZ'!S438," ")</f>
        <v xml:space="preserve"> </v>
      </c>
      <c r="P444" s="37" t="str">
        <f>IF(A444&lt;0,'CAR PROMAX FILIAL CRUZ'!T438," ")</f>
        <v xml:space="preserve"> </v>
      </c>
      <c r="Q444" s="37" t="str">
        <f>IF(A444&lt;0,'CAR PROMAX FILIAL CRUZ'!U438," ")</f>
        <v xml:space="preserve"> </v>
      </c>
      <c r="R444" s="34" t="str">
        <f>IF(A444&lt;0,'CAR PROMAX FILIAL CRUZ'!V438," ")</f>
        <v xml:space="preserve"> </v>
      </c>
    </row>
    <row r="445" spans="1:18" x14ac:dyDescent="0.25">
      <c r="A445">
        <f>'CAR PROMAX FILIAL CRUZ'!O439</f>
        <v>0</v>
      </c>
      <c r="B445" s="33" t="str">
        <f t="shared" si="15"/>
        <v xml:space="preserve"> </v>
      </c>
      <c r="C445" s="33" t="str">
        <f t="shared" si="14"/>
        <v xml:space="preserve"> </v>
      </c>
      <c r="D445" s="34" t="str">
        <f>IF(A445&lt;0,'CAR PROMAX FILIAL CRUZ'!B439," ")</f>
        <v xml:space="preserve"> </v>
      </c>
      <c r="E445" s="35" t="str">
        <f>IF(A445&lt;0,'CAR PROMAX FILIAL CRUZ'!C439," ")</f>
        <v xml:space="preserve"> </v>
      </c>
      <c r="F445" s="34" t="str">
        <f>IF(A445&lt;0,'CAR PROMAX FILIAL CRUZ'!D439," ")</f>
        <v xml:space="preserve"> </v>
      </c>
      <c r="G445" s="34" t="str">
        <f>IF(A445&lt;0,'CAR PROMAX FILIAL CRUZ'!E439," ")</f>
        <v xml:space="preserve"> </v>
      </c>
      <c r="H445" s="34" t="str">
        <f>IF(A445&lt;0,'CAR PROMAX FILIAL CRUZ'!J439," ")</f>
        <v xml:space="preserve"> </v>
      </c>
      <c r="I445" s="34"/>
      <c r="J445" s="34"/>
      <c r="K445" s="34" t="str">
        <f>IF(A445&lt;0,'CAR PROMAX FILIAL CRUZ'!O439," ")</f>
        <v xml:space="preserve"> </v>
      </c>
      <c r="L445" s="36" t="str">
        <f>IF(A445&lt;0,'CAR PROMAX FILIAL CRUZ'!P439," ")</f>
        <v xml:space="preserve"> </v>
      </c>
      <c r="M445" s="36" t="str">
        <f>IF(A445&lt;0,'CAR PROMAX FILIAL CRUZ'!Q439," ")</f>
        <v xml:space="preserve"> </v>
      </c>
      <c r="N445" s="36" t="str">
        <f>IF(A445&lt;0,'CAR PROMAX FILIAL CRUZ'!R439," ")</f>
        <v xml:space="preserve"> </v>
      </c>
      <c r="O445" s="37" t="str">
        <f>IF(A445&lt;0,'CAR PROMAX FILIAL CRUZ'!S439," ")</f>
        <v xml:space="preserve"> </v>
      </c>
      <c r="P445" s="37" t="str">
        <f>IF(A445&lt;0,'CAR PROMAX FILIAL CRUZ'!T439," ")</f>
        <v xml:space="preserve"> </v>
      </c>
      <c r="Q445" s="37" t="str">
        <f>IF(A445&lt;0,'CAR PROMAX FILIAL CRUZ'!U439," ")</f>
        <v xml:space="preserve"> </v>
      </c>
      <c r="R445" s="34" t="str">
        <f>IF(A445&lt;0,'CAR PROMAX FILIAL CRUZ'!V439," ")</f>
        <v xml:space="preserve"> </v>
      </c>
    </row>
    <row r="446" spans="1:18" x14ac:dyDescent="0.25">
      <c r="A446">
        <f>'CAR PROMAX FILIAL CRUZ'!O440</f>
        <v>0</v>
      </c>
      <c r="B446" s="33" t="str">
        <f t="shared" si="15"/>
        <v xml:space="preserve"> </v>
      </c>
      <c r="C446" s="33" t="str">
        <f t="shared" si="14"/>
        <v xml:space="preserve"> </v>
      </c>
      <c r="D446" s="34" t="str">
        <f>IF(A446&lt;0,'CAR PROMAX FILIAL CRUZ'!B440," ")</f>
        <v xml:space="preserve"> </v>
      </c>
      <c r="E446" s="35" t="str">
        <f>IF(A446&lt;0,'CAR PROMAX FILIAL CRUZ'!C440," ")</f>
        <v xml:space="preserve"> </v>
      </c>
      <c r="F446" s="34" t="str">
        <f>IF(A446&lt;0,'CAR PROMAX FILIAL CRUZ'!D440," ")</f>
        <v xml:space="preserve"> </v>
      </c>
      <c r="G446" s="34" t="str">
        <f>IF(A446&lt;0,'CAR PROMAX FILIAL CRUZ'!E440," ")</f>
        <v xml:space="preserve"> </v>
      </c>
      <c r="H446" s="34" t="str">
        <f>IF(A446&lt;0,'CAR PROMAX FILIAL CRUZ'!J440," ")</f>
        <v xml:space="preserve"> </v>
      </c>
      <c r="I446" s="34"/>
      <c r="J446" s="34"/>
      <c r="K446" s="34" t="str">
        <f>IF(A446&lt;0,'CAR PROMAX FILIAL CRUZ'!O440," ")</f>
        <v xml:space="preserve"> </v>
      </c>
      <c r="L446" s="36" t="str">
        <f>IF(A446&lt;0,'CAR PROMAX FILIAL CRUZ'!P440," ")</f>
        <v xml:space="preserve"> </v>
      </c>
      <c r="M446" s="36" t="str">
        <f>IF(A446&lt;0,'CAR PROMAX FILIAL CRUZ'!Q440," ")</f>
        <v xml:space="preserve"> </v>
      </c>
      <c r="N446" s="36" t="str">
        <f>IF(A446&lt;0,'CAR PROMAX FILIAL CRUZ'!R440," ")</f>
        <v xml:space="preserve"> </v>
      </c>
      <c r="O446" s="37" t="str">
        <f>IF(A446&lt;0,'CAR PROMAX FILIAL CRUZ'!S440," ")</f>
        <v xml:space="preserve"> </v>
      </c>
      <c r="P446" s="37" t="str">
        <f>IF(A446&lt;0,'CAR PROMAX FILIAL CRUZ'!T440," ")</f>
        <v xml:space="preserve"> </v>
      </c>
      <c r="Q446" s="37" t="str">
        <f>IF(A446&lt;0,'CAR PROMAX FILIAL CRUZ'!U440," ")</f>
        <v xml:space="preserve"> </v>
      </c>
      <c r="R446" s="34" t="str">
        <f>IF(A446&lt;0,'CAR PROMAX FILIAL CRUZ'!V440," ")</f>
        <v xml:space="preserve"> </v>
      </c>
    </row>
    <row r="447" spans="1:18" x14ac:dyDescent="0.25">
      <c r="A447">
        <f>'CAR PROMAX FILIAL CRUZ'!O441</f>
        <v>0</v>
      </c>
      <c r="B447" s="33" t="str">
        <f t="shared" si="15"/>
        <v xml:space="preserve"> </v>
      </c>
      <c r="C447" s="33" t="str">
        <f t="shared" si="14"/>
        <v xml:space="preserve"> </v>
      </c>
      <c r="D447" s="34" t="str">
        <f>IF(A447&lt;0,'CAR PROMAX FILIAL CRUZ'!B441," ")</f>
        <v xml:space="preserve"> </v>
      </c>
      <c r="E447" s="35" t="str">
        <f>IF(A447&lt;0,'CAR PROMAX FILIAL CRUZ'!C441," ")</f>
        <v xml:space="preserve"> </v>
      </c>
      <c r="F447" s="34" t="str">
        <f>IF(A447&lt;0,'CAR PROMAX FILIAL CRUZ'!D441," ")</f>
        <v xml:space="preserve"> </v>
      </c>
      <c r="G447" s="34" t="str">
        <f>IF(A447&lt;0,'CAR PROMAX FILIAL CRUZ'!E441," ")</f>
        <v xml:space="preserve"> </v>
      </c>
      <c r="H447" s="34" t="str">
        <f>IF(A447&lt;0,'CAR PROMAX FILIAL CRUZ'!J441," ")</f>
        <v xml:space="preserve"> </v>
      </c>
      <c r="I447" s="34"/>
      <c r="J447" s="34"/>
      <c r="K447" s="34" t="str">
        <f>IF(A447&lt;0,'CAR PROMAX FILIAL CRUZ'!O441," ")</f>
        <v xml:space="preserve"> </v>
      </c>
      <c r="L447" s="36" t="str">
        <f>IF(A447&lt;0,'CAR PROMAX FILIAL CRUZ'!P441," ")</f>
        <v xml:space="preserve"> </v>
      </c>
      <c r="M447" s="36" t="str">
        <f>IF(A447&lt;0,'CAR PROMAX FILIAL CRUZ'!Q441," ")</f>
        <v xml:space="preserve"> </v>
      </c>
      <c r="N447" s="36" t="str">
        <f>IF(A447&lt;0,'CAR PROMAX FILIAL CRUZ'!R441," ")</f>
        <v xml:space="preserve"> </v>
      </c>
      <c r="O447" s="37" t="str">
        <f>IF(A447&lt;0,'CAR PROMAX FILIAL CRUZ'!S441," ")</f>
        <v xml:space="preserve"> </v>
      </c>
      <c r="P447" s="37" t="str">
        <f>IF(A447&lt;0,'CAR PROMAX FILIAL CRUZ'!T441," ")</f>
        <v xml:space="preserve"> </v>
      </c>
      <c r="Q447" s="37" t="str">
        <f>IF(A447&lt;0,'CAR PROMAX FILIAL CRUZ'!U441," ")</f>
        <v xml:space="preserve"> </v>
      </c>
      <c r="R447" s="34" t="str">
        <f>IF(A447&lt;0,'CAR PROMAX FILIAL CRUZ'!V441," ")</f>
        <v xml:space="preserve"> </v>
      </c>
    </row>
    <row r="448" spans="1:18" x14ac:dyDescent="0.25">
      <c r="A448">
        <f>'CAR PROMAX FILIAL CRUZ'!O442</f>
        <v>0</v>
      </c>
      <c r="B448" s="33" t="str">
        <f t="shared" si="15"/>
        <v xml:space="preserve"> </v>
      </c>
      <c r="C448" s="33" t="str">
        <f t="shared" si="14"/>
        <v xml:space="preserve"> </v>
      </c>
      <c r="D448" s="34" t="str">
        <f>IF(A448&lt;0,'CAR PROMAX FILIAL CRUZ'!B442," ")</f>
        <v xml:space="preserve"> </v>
      </c>
      <c r="E448" s="35" t="str">
        <f>IF(A448&lt;0,'CAR PROMAX FILIAL CRUZ'!C442," ")</f>
        <v xml:space="preserve"> </v>
      </c>
      <c r="F448" s="34" t="str">
        <f>IF(A448&lt;0,'CAR PROMAX FILIAL CRUZ'!D442," ")</f>
        <v xml:space="preserve"> </v>
      </c>
      <c r="G448" s="34" t="str">
        <f>IF(A448&lt;0,'CAR PROMAX FILIAL CRUZ'!E442," ")</f>
        <v xml:space="preserve"> </v>
      </c>
      <c r="H448" s="34" t="str">
        <f>IF(A448&lt;0,'CAR PROMAX FILIAL CRUZ'!J442," ")</f>
        <v xml:space="preserve"> </v>
      </c>
      <c r="I448" s="34"/>
      <c r="J448" s="34"/>
      <c r="K448" s="34" t="str">
        <f>IF(A448&lt;0,'CAR PROMAX FILIAL CRUZ'!O442," ")</f>
        <v xml:space="preserve"> </v>
      </c>
      <c r="L448" s="36" t="str">
        <f>IF(A448&lt;0,'CAR PROMAX FILIAL CRUZ'!P442," ")</f>
        <v xml:space="preserve"> </v>
      </c>
      <c r="M448" s="36" t="str">
        <f>IF(A448&lt;0,'CAR PROMAX FILIAL CRUZ'!Q442," ")</f>
        <v xml:space="preserve"> </v>
      </c>
      <c r="N448" s="36" t="str">
        <f>IF(A448&lt;0,'CAR PROMAX FILIAL CRUZ'!R442," ")</f>
        <v xml:space="preserve"> </v>
      </c>
      <c r="O448" s="37" t="str">
        <f>IF(A448&lt;0,'CAR PROMAX FILIAL CRUZ'!S442," ")</f>
        <v xml:space="preserve"> </v>
      </c>
      <c r="P448" s="37" t="str">
        <f>IF(A448&lt;0,'CAR PROMAX FILIAL CRUZ'!T442," ")</f>
        <v xml:space="preserve"> </v>
      </c>
      <c r="Q448" s="37" t="str">
        <f>IF(A448&lt;0,'CAR PROMAX FILIAL CRUZ'!U442," ")</f>
        <v xml:space="preserve"> </v>
      </c>
      <c r="R448" s="34" t="str">
        <f>IF(A448&lt;0,'CAR PROMAX FILIAL CRUZ'!V442," ")</f>
        <v xml:space="preserve"> </v>
      </c>
    </row>
    <row r="449" spans="1:18" x14ac:dyDescent="0.25">
      <c r="A449">
        <f>'CAR PROMAX FILIAL CRUZ'!O443</f>
        <v>0</v>
      </c>
      <c r="B449" s="33" t="str">
        <f t="shared" si="15"/>
        <v xml:space="preserve"> </v>
      </c>
      <c r="C449" s="33" t="str">
        <f t="shared" si="14"/>
        <v xml:space="preserve"> </v>
      </c>
      <c r="D449" s="34" t="str">
        <f>IF(A449&lt;0,'CAR PROMAX FILIAL CRUZ'!B443," ")</f>
        <v xml:space="preserve"> </v>
      </c>
      <c r="E449" s="35" t="str">
        <f>IF(A449&lt;0,'CAR PROMAX FILIAL CRUZ'!C443," ")</f>
        <v xml:space="preserve"> </v>
      </c>
      <c r="F449" s="34" t="str">
        <f>IF(A449&lt;0,'CAR PROMAX FILIAL CRUZ'!D443," ")</f>
        <v xml:space="preserve"> </v>
      </c>
      <c r="G449" s="34" t="str">
        <f>IF(A449&lt;0,'CAR PROMAX FILIAL CRUZ'!E443," ")</f>
        <v xml:space="preserve"> </v>
      </c>
      <c r="H449" s="34" t="str">
        <f>IF(A449&lt;0,'CAR PROMAX FILIAL CRUZ'!J443," ")</f>
        <v xml:space="preserve"> </v>
      </c>
      <c r="I449" s="34"/>
      <c r="J449" s="34"/>
      <c r="K449" s="34" t="str">
        <f>IF(A449&lt;0,'CAR PROMAX FILIAL CRUZ'!O443," ")</f>
        <v xml:space="preserve"> </v>
      </c>
      <c r="L449" s="36" t="str">
        <f>IF(A449&lt;0,'CAR PROMAX FILIAL CRUZ'!P443," ")</f>
        <v xml:space="preserve"> </v>
      </c>
      <c r="M449" s="36" t="str">
        <f>IF(A449&lt;0,'CAR PROMAX FILIAL CRUZ'!Q443," ")</f>
        <v xml:space="preserve"> </v>
      </c>
      <c r="N449" s="36" t="str">
        <f>IF(A449&lt;0,'CAR PROMAX FILIAL CRUZ'!R443," ")</f>
        <v xml:space="preserve"> </v>
      </c>
      <c r="O449" s="37" t="str">
        <f>IF(A449&lt;0,'CAR PROMAX FILIAL CRUZ'!S443," ")</f>
        <v xml:space="preserve"> </v>
      </c>
      <c r="P449" s="37" t="str">
        <f>IF(A449&lt;0,'CAR PROMAX FILIAL CRUZ'!T443," ")</f>
        <v xml:space="preserve"> </v>
      </c>
      <c r="Q449" s="37" t="str">
        <f>IF(A449&lt;0,'CAR PROMAX FILIAL CRUZ'!U443," ")</f>
        <v xml:space="preserve"> </v>
      </c>
      <c r="R449" s="34" t="str">
        <f>IF(A449&lt;0,'CAR PROMAX FILIAL CRUZ'!V443," ")</f>
        <v xml:space="preserve"> </v>
      </c>
    </row>
    <row r="450" spans="1:18" x14ac:dyDescent="0.25">
      <c r="A450">
        <f>'CAR PROMAX FILIAL CRUZ'!O444</f>
        <v>0</v>
      </c>
      <c r="B450" s="33" t="str">
        <f t="shared" si="15"/>
        <v xml:space="preserve"> </v>
      </c>
      <c r="C450" s="33" t="str">
        <f t="shared" si="14"/>
        <v xml:space="preserve"> </v>
      </c>
      <c r="D450" s="34" t="str">
        <f>IF(A450&lt;0,'CAR PROMAX FILIAL CRUZ'!B444," ")</f>
        <v xml:space="preserve"> </v>
      </c>
      <c r="E450" s="35" t="str">
        <f>IF(A450&lt;0,'CAR PROMAX FILIAL CRUZ'!C444," ")</f>
        <v xml:space="preserve"> </v>
      </c>
      <c r="F450" s="34" t="str">
        <f>IF(A450&lt;0,'CAR PROMAX FILIAL CRUZ'!D444," ")</f>
        <v xml:space="preserve"> </v>
      </c>
      <c r="G450" s="34" t="str">
        <f>IF(A450&lt;0,'CAR PROMAX FILIAL CRUZ'!E444," ")</f>
        <v xml:space="preserve"> </v>
      </c>
      <c r="H450" s="34" t="str">
        <f>IF(A450&lt;0,'CAR PROMAX FILIAL CRUZ'!J444," ")</f>
        <v xml:space="preserve"> </v>
      </c>
      <c r="I450" s="34"/>
      <c r="J450" s="34"/>
      <c r="K450" s="34" t="str">
        <f>IF(A450&lt;0,'CAR PROMAX FILIAL CRUZ'!O444," ")</f>
        <v xml:space="preserve"> </v>
      </c>
      <c r="L450" s="36" t="str">
        <f>IF(A450&lt;0,'CAR PROMAX FILIAL CRUZ'!P444," ")</f>
        <v xml:space="preserve"> </v>
      </c>
      <c r="M450" s="36" t="str">
        <f>IF(A450&lt;0,'CAR PROMAX FILIAL CRUZ'!Q444," ")</f>
        <v xml:space="preserve"> </v>
      </c>
      <c r="N450" s="36" t="str">
        <f>IF(A450&lt;0,'CAR PROMAX FILIAL CRUZ'!R444," ")</f>
        <v xml:space="preserve"> </v>
      </c>
      <c r="O450" s="37" t="str">
        <f>IF(A450&lt;0,'CAR PROMAX FILIAL CRUZ'!S444," ")</f>
        <v xml:space="preserve"> </v>
      </c>
      <c r="P450" s="37" t="str">
        <f>IF(A450&lt;0,'CAR PROMAX FILIAL CRUZ'!T444," ")</f>
        <v xml:space="preserve"> </v>
      </c>
      <c r="Q450" s="37" t="str">
        <f>IF(A450&lt;0,'CAR PROMAX FILIAL CRUZ'!U444," ")</f>
        <v xml:space="preserve"> </v>
      </c>
      <c r="R450" s="34" t="str">
        <f>IF(A450&lt;0,'CAR PROMAX FILIAL CRUZ'!V444," ")</f>
        <v xml:space="preserve"> </v>
      </c>
    </row>
    <row r="451" spans="1:18" x14ac:dyDescent="0.25">
      <c r="A451">
        <f>'CAR PROMAX FILIAL CRUZ'!O445</f>
        <v>0</v>
      </c>
      <c r="B451" s="33" t="str">
        <f t="shared" si="15"/>
        <v xml:space="preserve"> </v>
      </c>
      <c r="C451" s="33" t="str">
        <f t="shared" si="14"/>
        <v xml:space="preserve"> </v>
      </c>
      <c r="D451" s="34" t="str">
        <f>IF(A451&lt;0,'CAR PROMAX FILIAL CRUZ'!B445," ")</f>
        <v xml:space="preserve"> </v>
      </c>
      <c r="E451" s="35" t="str">
        <f>IF(A451&lt;0,'CAR PROMAX FILIAL CRUZ'!C445," ")</f>
        <v xml:space="preserve"> </v>
      </c>
      <c r="F451" s="34" t="str">
        <f>IF(A451&lt;0,'CAR PROMAX FILIAL CRUZ'!D445," ")</f>
        <v xml:space="preserve"> </v>
      </c>
      <c r="G451" s="34" t="str">
        <f>IF(A451&lt;0,'CAR PROMAX FILIAL CRUZ'!E445," ")</f>
        <v xml:space="preserve"> </v>
      </c>
      <c r="H451" s="34" t="str">
        <f>IF(A451&lt;0,'CAR PROMAX FILIAL CRUZ'!J445," ")</f>
        <v xml:space="preserve"> </v>
      </c>
      <c r="I451" s="34"/>
      <c r="J451" s="34"/>
      <c r="K451" s="34" t="str">
        <f>IF(A451&lt;0,'CAR PROMAX FILIAL CRUZ'!O445," ")</f>
        <v xml:space="preserve"> </v>
      </c>
      <c r="L451" s="36" t="str">
        <f>IF(A451&lt;0,'CAR PROMAX FILIAL CRUZ'!P445," ")</f>
        <v xml:space="preserve"> </v>
      </c>
      <c r="M451" s="36" t="str">
        <f>IF(A451&lt;0,'CAR PROMAX FILIAL CRUZ'!Q445," ")</f>
        <v xml:space="preserve"> </v>
      </c>
      <c r="N451" s="36" t="str">
        <f>IF(A451&lt;0,'CAR PROMAX FILIAL CRUZ'!R445," ")</f>
        <v xml:space="preserve"> </v>
      </c>
      <c r="O451" s="37" t="str">
        <f>IF(A451&lt;0,'CAR PROMAX FILIAL CRUZ'!S445," ")</f>
        <v xml:space="preserve"> </v>
      </c>
      <c r="P451" s="37" t="str">
        <f>IF(A451&lt;0,'CAR PROMAX FILIAL CRUZ'!T445," ")</f>
        <v xml:space="preserve"> </v>
      </c>
      <c r="Q451" s="37" t="str">
        <f>IF(A451&lt;0,'CAR PROMAX FILIAL CRUZ'!U445," ")</f>
        <v xml:space="preserve"> </v>
      </c>
      <c r="R451" s="34" t="str">
        <f>IF(A451&lt;0,'CAR PROMAX FILIAL CRUZ'!V445," ")</f>
        <v xml:space="preserve"> </v>
      </c>
    </row>
    <row r="452" spans="1:18" x14ac:dyDescent="0.25">
      <c r="A452">
        <f>'CAR PROMAX FILIAL CRUZ'!O446</f>
        <v>0</v>
      </c>
      <c r="B452" s="33" t="str">
        <f t="shared" si="15"/>
        <v xml:space="preserve"> </v>
      </c>
      <c r="C452" s="33" t="str">
        <f t="shared" si="14"/>
        <v xml:space="preserve"> </v>
      </c>
      <c r="D452" s="34" t="str">
        <f>IF(A452&lt;0,'CAR PROMAX FILIAL CRUZ'!B446," ")</f>
        <v xml:space="preserve"> </v>
      </c>
      <c r="E452" s="35" t="str">
        <f>IF(A452&lt;0,'CAR PROMAX FILIAL CRUZ'!C446," ")</f>
        <v xml:space="preserve"> </v>
      </c>
      <c r="F452" s="34" t="str">
        <f>IF(A452&lt;0,'CAR PROMAX FILIAL CRUZ'!D446," ")</f>
        <v xml:space="preserve"> </v>
      </c>
      <c r="G452" s="34" t="str">
        <f>IF(A452&lt;0,'CAR PROMAX FILIAL CRUZ'!E446," ")</f>
        <v xml:space="preserve"> </v>
      </c>
      <c r="H452" s="34" t="str">
        <f>IF(A452&lt;0,'CAR PROMAX FILIAL CRUZ'!J446," ")</f>
        <v xml:space="preserve"> </v>
      </c>
      <c r="I452" s="34"/>
      <c r="J452" s="34"/>
      <c r="K452" s="34" t="str">
        <f>IF(A452&lt;0,'CAR PROMAX FILIAL CRUZ'!O446," ")</f>
        <v xml:space="preserve"> </v>
      </c>
      <c r="L452" s="36" t="str">
        <f>IF(A452&lt;0,'CAR PROMAX FILIAL CRUZ'!P446," ")</f>
        <v xml:space="preserve"> </v>
      </c>
      <c r="M452" s="36" t="str">
        <f>IF(A452&lt;0,'CAR PROMAX FILIAL CRUZ'!Q446," ")</f>
        <v xml:space="preserve"> </v>
      </c>
      <c r="N452" s="36" t="str">
        <f>IF(A452&lt;0,'CAR PROMAX FILIAL CRUZ'!R446," ")</f>
        <v xml:space="preserve"> </v>
      </c>
      <c r="O452" s="37" t="str">
        <f>IF(A452&lt;0,'CAR PROMAX FILIAL CRUZ'!S446," ")</f>
        <v xml:space="preserve"> </v>
      </c>
      <c r="P452" s="37" t="str">
        <f>IF(A452&lt;0,'CAR PROMAX FILIAL CRUZ'!T446," ")</f>
        <v xml:space="preserve"> </v>
      </c>
      <c r="Q452" s="37" t="str">
        <f>IF(A452&lt;0,'CAR PROMAX FILIAL CRUZ'!U446," ")</f>
        <v xml:space="preserve"> </v>
      </c>
      <c r="R452" s="34" t="str">
        <f>IF(A452&lt;0,'CAR PROMAX FILIAL CRUZ'!V446," ")</f>
        <v xml:space="preserve"> </v>
      </c>
    </row>
    <row r="453" spans="1:18" x14ac:dyDescent="0.25">
      <c r="A453">
        <f>'CAR PROMAX FILIAL CRUZ'!O447</f>
        <v>0</v>
      </c>
      <c r="B453" s="33" t="str">
        <f t="shared" si="15"/>
        <v xml:space="preserve"> </v>
      </c>
      <c r="C453" s="33" t="str">
        <f t="shared" si="14"/>
        <v xml:space="preserve"> </v>
      </c>
      <c r="D453" s="34" t="str">
        <f>IF(A453&lt;0,'CAR PROMAX FILIAL CRUZ'!B447," ")</f>
        <v xml:space="preserve"> </v>
      </c>
      <c r="E453" s="35" t="str">
        <f>IF(A453&lt;0,'CAR PROMAX FILIAL CRUZ'!C447," ")</f>
        <v xml:space="preserve"> </v>
      </c>
      <c r="F453" s="34" t="str">
        <f>IF(A453&lt;0,'CAR PROMAX FILIAL CRUZ'!D447," ")</f>
        <v xml:space="preserve"> </v>
      </c>
      <c r="G453" s="34" t="str">
        <f>IF(A453&lt;0,'CAR PROMAX FILIAL CRUZ'!E447," ")</f>
        <v xml:space="preserve"> </v>
      </c>
      <c r="H453" s="34" t="str">
        <f>IF(A453&lt;0,'CAR PROMAX FILIAL CRUZ'!J447," ")</f>
        <v xml:space="preserve"> </v>
      </c>
      <c r="I453" s="34"/>
      <c r="J453" s="34"/>
      <c r="K453" s="34" t="str">
        <f>IF(A453&lt;0,'CAR PROMAX FILIAL CRUZ'!O447," ")</f>
        <v xml:space="preserve"> </v>
      </c>
      <c r="L453" s="36" t="str">
        <f>IF(A453&lt;0,'CAR PROMAX FILIAL CRUZ'!P447," ")</f>
        <v xml:space="preserve"> </v>
      </c>
      <c r="M453" s="36" t="str">
        <f>IF(A453&lt;0,'CAR PROMAX FILIAL CRUZ'!Q447," ")</f>
        <v xml:space="preserve"> </v>
      </c>
      <c r="N453" s="36" t="str">
        <f>IF(A453&lt;0,'CAR PROMAX FILIAL CRUZ'!R447," ")</f>
        <v xml:space="preserve"> </v>
      </c>
      <c r="O453" s="37" t="str">
        <f>IF(A453&lt;0,'CAR PROMAX FILIAL CRUZ'!S447," ")</f>
        <v xml:space="preserve"> </v>
      </c>
      <c r="P453" s="37" t="str">
        <f>IF(A453&lt;0,'CAR PROMAX FILIAL CRUZ'!T447," ")</f>
        <v xml:space="preserve"> </v>
      </c>
      <c r="Q453" s="37" t="str">
        <f>IF(A453&lt;0,'CAR PROMAX FILIAL CRUZ'!U447," ")</f>
        <v xml:space="preserve"> </v>
      </c>
      <c r="R453" s="34" t="str">
        <f>IF(A453&lt;0,'CAR PROMAX FILIAL CRUZ'!V447," ")</f>
        <v xml:space="preserve"> </v>
      </c>
    </row>
    <row r="454" spans="1:18" x14ac:dyDescent="0.25">
      <c r="A454">
        <f>'CAR PROMAX FILIAL CRUZ'!O448</f>
        <v>0</v>
      </c>
      <c r="B454" s="33" t="str">
        <f t="shared" si="15"/>
        <v xml:space="preserve"> </v>
      </c>
      <c r="C454" s="33" t="str">
        <f t="shared" si="14"/>
        <v xml:space="preserve"> </v>
      </c>
      <c r="D454" s="34" t="str">
        <f>IF(A454&lt;0,'CAR PROMAX FILIAL CRUZ'!B448," ")</f>
        <v xml:space="preserve"> </v>
      </c>
      <c r="E454" s="35" t="str">
        <f>IF(A454&lt;0,'CAR PROMAX FILIAL CRUZ'!C448," ")</f>
        <v xml:space="preserve"> </v>
      </c>
      <c r="F454" s="34" t="str">
        <f>IF(A454&lt;0,'CAR PROMAX FILIAL CRUZ'!D448," ")</f>
        <v xml:space="preserve"> </v>
      </c>
      <c r="G454" s="34" t="str">
        <f>IF(A454&lt;0,'CAR PROMAX FILIAL CRUZ'!E448," ")</f>
        <v xml:space="preserve"> </v>
      </c>
      <c r="H454" s="34" t="str">
        <f>IF(A454&lt;0,'CAR PROMAX FILIAL CRUZ'!J448," ")</f>
        <v xml:space="preserve"> </v>
      </c>
      <c r="I454" s="34"/>
      <c r="J454" s="34"/>
      <c r="K454" s="34" t="str">
        <f>IF(A454&lt;0,'CAR PROMAX FILIAL CRUZ'!O448," ")</f>
        <v xml:space="preserve"> </v>
      </c>
      <c r="L454" s="36" t="str">
        <f>IF(A454&lt;0,'CAR PROMAX FILIAL CRUZ'!P448," ")</f>
        <v xml:space="preserve"> </v>
      </c>
      <c r="M454" s="36" t="str">
        <f>IF(A454&lt;0,'CAR PROMAX FILIAL CRUZ'!Q448," ")</f>
        <v xml:space="preserve"> </v>
      </c>
      <c r="N454" s="36" t="str">
        <f>IF(A454&lt;0,'CAR PROMAX FILIAL CRUZ'!R448," ")</f>
        <v xml:space="preserve"> </v>
      </c>
      <c r="O454" s="37" t="str">
        <f>IF(A454&lt;0,'CAR PROMAX FILIAL CRUZ'!S448," ")</f>
        <v xml:space="preserve"> </v>
      </c>
      <c r="P454" s="37" t="str">
        <f>IF(A454&lt;0,'CAR PROMAX FILIAL CRUZ'!T448," ")</f>
        <v xml:space="preserve"> </v>
      </c>
      <c r="Q454" s="37" t="str">
        <f>IF(A454&lt;0,'CAR PROMAX FILIAL CRUZ'!U448," ")</f>
        <v xml:space="preserve"> </v>
      </c>
      <c r="R454" s="34" t="str">
        <f>IF(A454&lt;0,'CAR PROMAX FILIAL CRUZ'!V448," ")</f>
        <v xml:space="preserve"> </v>
      </c>
    </row>
    <row r="455" spans="1:18" x14ac:dyDescent="0.25">
      <c r="A455">
        <f>'CAR PROMAX FILIAL CRUZ'!O449</f>
        <v>0</v>
      </c>
      <c r="B455" s="33" t="str">
        <f t="shared" si="15"/>
        <v xml:space="preserve"> </v>
      </c>
      <c r="C455" s="33" t="str">
        <f t="shared" si="14"/>
        <v xml:space="preserve"> </v>
      </c>
      <c r="D455" s="34" t="str">
        <f>IF(A455&lt;0,'CAR PROMAX FILIAL CRUZ'!B449," ")</f>
        <v xml:space="preserve"> </v>
      </c>
      <c r="E455" s="35" t="str">
        <f>IF(A455&lt;0,'CAR PROMAX FILIAL CRUZ'!C449," ")</f>
        <v xml:space="preserve"> </v>
      </c>
      <c r="F455" s="34" t="str">
        <f>IF(A455&lt;0,'CAR PROMAX FILIAL CRUZ'!D449," ")</f>
        <v xml:space="preserve"> </v>
      </c>
      <c r="G455" s="34" t="str">
        <f>IF(A455&lt;0,'CAR PROMAX FILIAL CRUZ'!E449," ")</f>
        <v xml:space="preserve"> </v>
      </c>
      <c r="H455" s="34" t="str">
        <f>IF(A455&lt;0,'CAR PROMAX FILIAL CRUZ'!J449," ")</f>
        <v xml:space="preserve"> </v>
      </c>
      <c r="I455" s="34"/>
      <c r="J455" s="34"/>
      <c r="K455" s="34" t="str">
        <f>IF(A455&lt;0,'CAR PROMAX FILIAL CRUZ'!O449," ")</f>
        <v xml:space="preserve"> </v>
      </c>
      <c r="L455" s="36" t="str">
        <f>IF(A455&lt;0,'CAR PROMAX FILIAL CRUZ'!P449," ")</f>
        <v xml:space="preserve"> </v>
      </c>
      <c r="M455" s="36" t="str">
        <f>IF(A455&lt;0,'CAR PROMAX FILIAL CRUZ'!Q449," ")</f>
        <v xml:space="preserve"> </v>
      </c>
      <c r="N455" s="36" t="str">
        <f>IF(A455&lt;0,'CAR PROMAX FILIAL CRUZ'!R449," ")</f>
        <v xml:space="preserve"> </v>
      </c>
      <c r="O455" s="37" t="str">
        <f>IF(A455&lt;0,'CAR PROMAX FILIAL CRUZ'!S449," ")</f>
        <v xml:space="preserve"> </v>
      </c>
      <c r="P455" s="37" t="str">
        <f>IF(A455&lt;0,'CAR PROMAX FILIAL CRUZ'!T449," ")</f>
        <v xml:space="preserve"> </v>
      </c>
      <c r="Q455" s="37" t="str">
        <f>IF(A455&lt;0,'CAR PROMAX FILIAL CRUZ'!U449," ")</f>
        <v xml:space="preserve"> </v>
      </c>
      <c r="R455" s="34" t="str">
        <f>IF(A455&lt;0,'CAR PROMAX FILIAL CRUZ'!V449," ")</f>
        <v xml:space="preserve"> </v>
      </c>
    </row>
    <row r="456" spans="1:18" x14ac:dyDescent="0.25">
      <c r="A456">
        <f>'CAR PROMAX FILIAL CRUZ'!O450</f>
        <v>0</v>
      </c>
      <c r="B456" s="33" t="str">
        <f t="shared" si="15"/>
        <v xml:space="preserve"> </v>
      </c>
      <c r="C456" s="33" t="str">
        <f t="shared" ref="C456:C497" si="16">IF(K456&lt;0,IF(K456&gt;-16,"RN",IF(K456&gt;-46,"GV","GC"))," ")</f>
        <v xml:space="preserve"> </v>
      </c>
      <c r="D456" s="34" t="str">
        <f>IF(A456&lt;0,'CAR PROMAX FILIAL CRUZ'!B450," ")</f>
        <v xml:space="preserve"> </v>
      </c>
      <c r="E456" s="35" t="str">
        <f>IF(A456&lt;0,'CAR PROMAX FILIAL CRUZ'!C450," ")</f>
        <v xml:space="preserve"> </v>
      </c>
      <c r="F456" s="34" t="str">
        <f>IF(A456&lt;0,'CAR PROMAX FILIAL CRUZ'!D450," ")</f>
        <v xml:space="preserve"> </v>
      </c>
      <c r="G456" s="34" t="str">
        <f>IF(A456&lt;0,'CAR PROMAX FILIAL CRUZ'!E450," ")</f>
        <v xml:space="preserve"> </v>
      </c>
      <c r="H456" s="34" t="str">
        <f>IF(A456&lt;0,'CAR PROMAX FILIAL CRUZ'!J450," ")</f>
        <v xml:space="preserve"> </v>
      </c>
      <c r="I456" s="34"/>
      <c r="J456" s="34"/>
      <c r="K456" s="34" t="str">
        <f>IF(A456&lt;0,'CAR PROMAX FILIAL CRUZ'!O450," ")</f>
        <v xml:space="preserve"> </v>
      </c>
      <c r="L456" s="36" t="str">
        <f>IF(A456&lt;0,'CAR PROMAX FILIAL CRUZ'!P450," ")</f>
        <v xml:space="preserve"> </v>
      </c>
      <c r="M456" s="36" t="str">
        <f>IF(A456&lt;0,'CAR PROMAX FILIAL CRUZ'!Q450," ")</f>
        <v xml:space="preserve"> </v>
      </c>
      <c r="N456" s="36" t="str">
        <f>IF(A456&lt;0,'CAR PROMAX FILIAL CRUZ'!R450," ")</f>
        <v xml:space="preserve"> </v>
      </c>
      <c r="O456" s="37" t="str">
        <f>IF(A456&lt;0,'CAR PROMAX FILIAL CRUZ'!S450," ")</f>
        <v xml:space="preserve"> </v>
      </c>
      <c r="P456" s="37" t="str">
        <f>IF(A456&lt;0,'CAR PROMAX FILIAL CRUZ'!T450," ")</f>
        <v xml:space="preserve"> </v>
      </c>
      <c r="Q456" s="37" t="str">
        <f>IF(A456&lt;0,'CAR PROMAX FILIAL CRUZ'!U450," ")</f>
        <v xml:space="preserve"> </v>
      </c>
      <c r="R456" s="34" t="str">
        <f>IF(A456&lt;0,'CAR PROMAX FILIAL CRUZ'!V450," ")</f>
        <v xml:space="preserve"> </v>
      </c>
    </row>
    <row r="457" spans="1:18" x14ac:dyDescent="0.25">
      <c r="A457">
        <f>'CAR PROMAX FILIAL CRUZ'!O451</f>
        <v>0</v>
      </c>
      <c r="B457" s="33" t="str">
        <f t="shared" si="15"/>
        <v xml:space="preserve"> </v>
      </c>
      <c r="C457" s="33" t="str">
        <f t="shared" si="16"/>
        <v xml:space="preserve"> </v>
      </c>
      <c r="D457" s="34" t="str">
        <f>IF(A457&lt;0,'CAR PROMAX FILIAL CRUZ'!B451," ")</f>
        <v xml:space="preserve"> </v>
      </c>
      <c r="E457" s="35" t="str">
        <f>IF(A457&lt;0,'CAR PROMAX FILIAL CRUZ'!C451," ")</f>
        <v xml:space="preserve"> </v>
      </c>
      <c r="F457" s="34" t="str">
        <f>IF(A457&lt;0,'CAR PROMAX FILIAL CRUZ'!D451," ")</f>
        <v xml:space="preserve"> </v>
      </c>
      <c r="G457" s="34" t="str">
        <f>IF(A457&lt;0,'CAR PROMAX FILIAL CRUZ'!E451," ")</f>
        <v xml:space="preserve"> </v>
      </c>
      <c r="H457" s="34" t="str">
        <f>IF(A457&lt;0,'CAR PROMAX FILIAL CRUZ'!J451," ")</f>
        <v xml:space="preserve"> </v>
      </c>
      <c r="I457" s="34"/>
      <c r="J457" s="34"/>
      <c r="K457" s="34" t="str">
        <f>IF(A457&lt;0,'CAR PROMAX FILIAL CRUZ'!O451," ")</f>
        <v xml:space="preserve"> </v>
      </c>
      <c r="L457" s="36" t="str">
        <f>IF(A457&lt;0,'CAR PROMAX FILIAL CRUZ'!P451," ")</f>
        <v xml:space="preserve"> </v>
      </c>
      <c r="M457" s="36" t="str">
        <f>IF(A457&lt;0,'CAR PROMAX FILIAL CRUZ'!Q451," ")</f>
        <v xml:space="preserve"> </v>
      </c>
      <c r="N457" s="36" t="str">
        <f>IF(A457&lt;0,'CAR PROMAX FILIAL CRUZ'!R451," ")</f>
        <v xml:space="preserve"> </v>
      </c>
      <c r="O457" s="37" t="str">
        <f>IF(A457&lt;0,'CAR PROMAX FILIAL CRUZ'!S451," ")</f>
        <v xml:space="preserve"> </v>
      </c>
      <c r="P457" s="37" t="str">
        <f>IF(A457&lt;0,'CAR PROMAX FILIAL CRUZ'!T451," ")</f>
        <v xml:space="preserve"> </v>
      </c>
      <c r="Q457" s="37" t="str">
        <f>IF(A457&lt;0,'CAR PROMAX FILIAL CRUZ'!U451," ")</f>
        <v xml:space="preserve"> </v>
      </c>
      <c r="R457" s="34" t="str">
        <f>IF(A457&lt;0,'CAR PROMAX FILIAL CRUZ'!V451," ")</f>
        <v xml:space="preserve"> </v>
      </c>
    </row>
    <row r="458" spans="1:18" x14ac:dyDescent="0.25">
      <c r="A458">
        <f>'CAR PROMAX FILIAL CRUZ'!O452</f>
        <v>0</v>
      </c>
      <c r="B458" s="33" t="str">
        <f t="shared" si="15"/>
        <v xml:space="preserve"> </v>
      </c>
      <c r="C458" s="33" t="str">
        <f t="shared" si="16"/>
        <v xml:space="preserve"> </v>
      </c>
      <c r="D458" s="34" t="str">
        <f>IF(A458&lt;0,'CAR PROMAX FILIAL CRUZ'!B452," ")</f>
        <v xml:space="preserve"> </v>
      </c>
      <c r="E458" s="35" t="str">
        <f>IF(A458&lt;0,'CAR PROMAX FILIAL CRUZ'!C452," ")</f>
        <v xml:space="preserve"> </v>
      </c>
      <c r="F458" s="34" t="str">
        <f>IF(A458&lt;0,'CAR PROMAX FILIAL CRUZ'!D452," ")</f>
        <v xml:space="preserve"> </v>
      </c>
      <c r="G458" s="34" t="str">
        <f>IF(A458&lt;0,'CAR PROMAX FILIAL CRUZ'!E452," ")</f>
        <v xml:space="preserve"> </v>
      </c>
      <c r="H458" s="34" t="str">
        <f>IF(A458&lt;0,'CAR PROMAX FILIAL CRUZ'!J452," ")</f>
        <v xml:space="preserve"> </v>
      </c>
      <c r="I458" s="34"/>
      <c r="J458" s="34"/>
      <c r="K458" s="34" t="str">
        <f>IF(A458&lt;0,'CAR PROMAX FILIAL CRUZ'!O452," ")</f>
        <v xml:space="preserve"> </v>
      </c>
      <c r="L458" s="36" t="str">
        <f>IF(A458&lt;0,'CAR PROMAX FILIAL CRUZ'!P452," ")</f>
        <v xml:space="preserve"> </v>
      </c>
      <c r="M458" s="36" t="str">
        <f>IF(A458&lt;0,'CAR PROMAX FILIAL CRUZ'!Q452," ")</f>
        <v xml:space="preserve"> </v>
      </c>
      <c r="N458" s="36" t="str">
        <f>IF(A458&lt;0,'CAR PROMAX FILIAL CRUZ'!R452," ")</f>
        <v xml:space="preserve"> </v>
      </c>
      <c r="O458" s="37" t="str">
        <f>IF(A458&lt;0,'CAR PROMAX FILIAL CRUZ'!S452," ")</f>
        <v xml:space="preserve"> </v>
      </c>
      <c r="P458" s="37" t="str">
        <f>IF(A458&lt;0,'CAR PROMAX FILIAL CRUZ'!T452," ")</f>
        <v xml:space="preserve"> </v>
      </c>
      <c r="Q458" s="37" t="str">
        <f>IF(A458&lt;0,'CAR PROMAX FILIAL CRUZ'!U452," ")</f>
        <v xml:space="preserve"> </v>
      </c>
      <c r="R458" s="34" t="str">
        <f>IF(A458&lt;0,'CAR PROMAX FILIAL CRUZ'!V452," ")</f>
        <v xml:space="preserve"> </v>
      </c>
    </row>
    <row r="459" spans="1:18" x14ac:dyDescent="0.25">
      <c r="A459">
        <f>'CAR PROMAX FILIAL CRUZ'!O453</f>
        <v>0</v>
      </c>
      <c r="B459" s="33" t="str">
        <f t="shared" si="15"/>
        <v xml:space="preserve"> </v>
      </c>
      <c r="C459" s="33" t="str">
        <f t="shared" si="16"/>
        <v xml:space="preserve"> </v>
      </c>
      <c r="D459" s="34" t="str">
        <f>IF(A459&lt;0,'CAR PROMAX FILIAL CRUZ'!B453," ")</f>
        <v xml:space="preserve"> </v>
      </c>
      <c r="E459" s="35" t="str">
        <f>IF(A459&lt;0,'CAR PROMAX FILIAL CRUZ'!C453," ")</f>
        <v xml:space="preserve"> </v>
      </c>
      <c r="F459" s="34" t="str">
        <f>IF(A459&lt;0,'CAR PROMAX FILIAL CRUZ'!D453," ")</f>
        <v xml:space="preserve"> </v>
      </c>
      <c r="G459" s="34" t="str">
        <f>IF(A459&lt;0,'CAR PROMAX FILIAL CRUZ'!E453," ")</f>
        <v xml:space="preserve"> </v>
      </c>
      <c r="H459" s="34" t="str">
        <f>IF(A459&lt;0,'CAR PROMAX FILIAL CRUZ'!J453," ")</f>
        <v xml:space="preserve"> </v>
      </c>
      <c r="I459" s="34"/>
      <c r="J459" s="34"/>
      <c r="K459" s="34" t="str">
        <f>IF(A459&lt;0,'CAR PROMAX FILIAL CRUZ'!O453," ")</f>
        <v xml:space="preserve"> </v>
      </c>
      <c r="L459" s="36" t="str">
        <f>IF(A459&lt;0,'CAR PROMAX FILIAL CRUZ'!P453," ")</f>
        <v xml:space="preserve"> </v>
      </c>
      <c r="M459" s="36" t="str">
        <f>IF(A459&lt;0,'CAR PROMAX FILIAL CRUZ'!Q453," ")</f>
        <v xml:space="preserve"> </v>
      </c>
      <c r="N459" s="36" t="str">
        <f>IF(A459&lt;0,'CAR PROMAX FILIAL CRUZ'!R453," ")</f>
        <v xml:space="preserve"> </v>
      </c>
      <c r="O459" s="37" t="str">
        <f>IF(A459&lt;0,'CAR PROMAX FILIAL CRUZ'!S453," ")</f>
        <v xml:space="preserve"> </v>
      </c>
      <c r="P459" s="37" t="str">
        <f>IF(A459&lt;0,'CAR PROMAX FILIAL CRUZ'!T453," ")</f>
        <v xml:space="preserve"> </v>
      </c>
      <c r="Q459" s="37" t="str">
        <f>IF(A459&lt;0,'CAR PROMAX FILIAL CRUZ'!U453," ")</f>
        <v xml:space="preserve"> </v>
      </c>
      <c r="R459" s="34" t="str">
        <f>IF(A459&lt;0,'CAR PROMAX FILIAL CRUZ'!V453," ")</f>
        <v xml:space="preserve"> </v>
      </c>
    </row>
    <row r="460" spans="1:18" x14ac:dyDescent="0.25">
      <c r="A460">
        <f>'CAR PROMAX FILIAL CRUZ'!O454</f>
        <v>0</v>
      </c>
      <c r="B460" s="33" t="str">
        <f t="shared" si="15"/>
        <v xml:space="preserve"> </v>
      </c>
      <c r="C460" s="33" t="str">
        <f t="shared" si="16"/>
        <v xml:space="preserve"> </v>
      </c>
      <c r="D460" s="34" t="str">
        <f>IF(A460&lt;0,'CAR PROMAX FILIAL CRUZ'!B454," ")</f>
        <v xml:space="preserve"> </v>
      </c>
      <c r="E460" s="35" t="str">
        <f>IF(A460&lt;0,'CAR PROMAX FILIAL CRUZ'!C454," ")</f>
        <v xml:space="preserve"> </v>
      </c>
      <c r="F460" s="34" t="str">
        <f>IF(A460&lt;0,'CAR PROMAX FILIAL CRUZ'!D454," ")</f>
        <v xml:space="preserve"> </v>
      </c>
      <c r="G460" s="34" t="str">
        <f>IF(A460&lt;0,'CAR PROMAX FILIAL CRUZ'!E454," ")</f>
        <v xml:space="preserve"> </v>
      </c>
      <c r="H460" s="34" t="str">
        <f>IF(A460&lt;0,'CAR PROMAX FILIAL CRUZ'!J454," ")</f>
        <v xml:space="preserve"> </v>
      </c>
      <c r="I460" s="34"/>
      <c r="J460" s="34"/>
      <c r="K460" s="34" t="str">
        <f>IF(A460&lt;0,'CAR PROMAX FILIAL CRUZ'!O454," ")</f>
        <v xml:space="preserve"> </v>
      </c>
      <c r="L460" s="36" t="str">
        <f>IF(A460&lt;0,'CAR PROMAX FILIAL CRUZ'!P454," ")</f>
        <v xml:space="preserve"> </v>
      </c>
      <c r="M460" s="36" t="str">
        <f>IF(A460&lt;0,'CAR PROMAX FILIAL CRUZ'!Q454," ")</f>
        <v xml:space="preserve"> </v>
      </c>
      <c r="N460" s="36" t="str">
        <f>IF(A460&lt;0,'CAR PROMAX FILIAL CRUZ'!R454," ")</f>
        <v xml:space="preserve"> </v>
      </c>
      <c r="O460" s="37" t="str">
        <f>IF(A460&lt;0,'CAR PROMAX FILIAL CRUZ'!S454," ")</f>
        <v xml:space="preserve"> </v>
      </c>
      <c r="P460" s="37" t="str">
        <f>IF(A460&lt;0,'CAR PROMAX FILIAL CRUZ'!T454," ")</f>
        <v xml:space="preserve"> </v>
      </c>
      <c r="Q460" s="37" t="str">
        <f>IF(A460&lt;0,'CAR PROMAX FILIAL CRUZ'!U454," ")</f>
        <v xml:space="preserve"> </v>
      </c>
      <c r="R460" s="34" t="str">
        <f>IF(A460&lt;0,'CAR PROMAX FILIAL CRUZ'!V454," ")</f>
        <v xml:space="preserve"> </v>
      </c>
    </row>
    <row r="461" spans="1:18" x14ac:dyDescent="0.25">
      <c r="A461">
        <f>'CAR PROMAX FILIAL CRUZ'!O455</f>
        <v>0</v>
      </c>
      <c r="B461" s="33" t="str">
        <f t="shared" si="15"/>
        <v xml:space="preserve"> </v>
      </c>
      <c r="C461" s="33" t="str">
        <f t="shared" si="16"/>
        <v xml:space="preserve"> </v>
      </c>
      <c r="D461" s="34" t="str">
        <f>IF(A461&lt;0,'CAR PROMAX FILIAL CRUZ'!B455," ")</f>
        <v xml:space="preserve"> </v>
      </c>
      <c r="E461" s="35" t="str">
        <f>IF(A461&lt;0,'CAR PROMAX FILIAL CRUZ'!C455," ")</f>
        <v xml:space="preserve"> </v>
      </c>
      <c r="F461" s="34" t="str">
        <f>IF(A461&lt;0,'CAR PROMAX FILIAL CRUZ'!D455," ")</f>
        <v xml:space="preserve"> </v>
      </c>
      <c r="G461" s="34" t="str">
        <f>IF(A461&lt;0,'CAR PROMAX FILIAL CRUZ'!E455," ")</f>
        <v xml:space="preserve"> </v>
      </c>
      <c r="H461" s="34" t="str">
        <f>IF(A461&lt;0,'CAR PROMAX FILIAL CRUZ'!J455," ")</f>
        <v xml:space="preserve"> </v>
      </c>
      <c r="I461" s="34"/>
      <c r="J461" s="34"/>
      <c r="K461" s="34" t="str">
        <f>IF(A461&lt;0,'CAR PROMAX FILIAL CRUZ'!O455," ")</f>
        <v xml:space="preserve"> </v>
      </c>
      <c r="L461" s="36" t="str">
        <f>IF(A461&lt;0,'CAR PROMAX FILIAL CRUZ'!P455," ")</f>
        <v xml:space="preserve"> </v>
      </c>
      <c r="M461" s="36" t="str">
        <f>IF(A461&lt;0,'CAR PROMAX FILIAL CRUZ'!Q455," ")</f>
        <v xml:space="preserve"> </v>
      </c>
      <c r="N461" s="36" t="str">
        <f>IF(A461&lt;0,'CAR PROMAX FILIAL CRUZ'!R455," ")</f>
        <v xml:space="preserve"> </v>
      </c>
      <c r="O461" s="37" t="str">
        <f>IF(A461&lt;0,'CAR PROMAX FILIAL CRUZ'!S455," ")</f>
        <v xml:space="preserve"> </v>
      </c>
      <c r="P461" s="37" t="str">
        <f>IF(A461&lt;0,'CAR PROMAX FILIAL CRUZ'!T455," ")</f>
        <v xml:space="preserve"> </v>
      </c>
      <c r="Q461" s="37" t="str">
        <f>IF(A461&lt;0,'CAR PROMAX FILIAL CRUZ'!U455," ")</f>
        <v xml:space="preserve"> </v>
      </c>
      <c r="R461" s="34" t="str">
        <f>IF(A461&lt;0,'CAR PROMAX FILIAL CRUZ'!V455," ")</f>
        <v xml:space="preserve"> </v>
      </c>
    </row>
    <row r="462" spans="1:18" x14ac:dyDescent="0.25">
      <c r="A462">
        <f>'CAR PROMAX FILIAL CRUZ'!O456</f>
        <v>0</v>
      </c>
      <c r="B462" s="33" t="str">
        <f t="shared" ref="B462:B497" si="17">IF(K462&lt;0,IF(K462&gt;-31,"INAD.",IF(K462&gt;-75,"IREC.","PDD"))," ")</f>
        <v xml:space="preserve"> </v>
      </c>
      <c r="C462" s="33" t="str">
        <f t="shared" si="16"/>
        <v xml:space="preserve"> </v>
      </c>
      <c r="D462" s="34" t="str">
        <f>IF(A462&lt;0,'CAR PROMAX FILIAL CRUZ'!B456," ")</f>
        <v xml:space="preserve"> </v>
      </c>
      <c r="E462" s="35" t="str">
        <f>IF(A462&lt;0,'CAR PROMAX FILIAL CRUZ'!C456," ")</f>
        <v xml:space="preserve"> </v>
      </c>
      <c r="F462" s="34" t="str">
        <f>IF(A462&lt;0,'CAR PROMAX FILIAL CRUZ'!D456," ")</f>
        <v xml:space="preserve"> </v>
      </c>
      <c r="G462" s="34" t="str">
        <f>IF(A462&lt;0,'CAR PROMAX FILIAL CRUZ'!E456," ")</f>
        <v xml:space="preserve"> </v>
      </c>
      <c r="H462" s="34" t="str">
        <f>IF(A462&lt;0,'CAR PROMAX FILIAL CRUZ'!J456," ")</f>
        <v xml:space="preserve"> </v>
      </c>
      <c r="I462" s="34"/>
      <c r="J462" s="34"/>
      <c r="K462" s="34" t="str">
        <f>IF(A462&lt;0,'CAR PROMAX FILIAL CRUZ'!O456," ")</f>
        <v xml:space="preserve"> </v>
      </c>
      <c r="L462" s="36" t="str">
        <f>IF(A462&lt;0,'CAR PROMAX FILIAL CRUZ'!P456," ")</f>
        <v xml:space="preserve"> </v>
      </c>
      <c r="M462" s="36" t="str">
        <f>IF(A462&lt;0,'CAR PROMAX FILIAL CRUZ'!Q456," ")</f>
        <v xml:space="preserve"> </v>
      </c>
      <c r="N462" s="36" t="str">
        <f>IF(A462&lt;0,'CAR PROMAX FILIAL CRUZ'!R456," ")</f>
        <v xml:space="preserve"> </v>
      </c>
      <c r="O462" s="37" t="str">
        <f>IF(A462&lt;0,'CAR PROMAX FILIAL CRUZ'!S456," ")</f>
        <v xml:space="preserve"> </v>
      </c>
      <c r="P462" s="37" t="str">
        <f>IF(A462&lt;0,'CAR PROMAX FILIAL CRUZ'!T456," ")</f>
        <v xml:space="preserve"> </v>
      </c>
      <c r="Q462" s="37" t="str">
        <f>IF(A462&lt;0,'CAR PROMAX FILIAL CRUZ'!U456," ")</f>
        <v xml:space="preserve"> </v>
      </c>
      <c r="R462" s="34" t="str">
        <f>IF(A462&lt;0,'CAR PROMAX FILIAL CRUZ'!V456," ")</f>
        <v xml:space="preserve"> </v>
      </c>
    </row>
    <row r="463" spans="1:18" x14ac:dyDescent="0.25">
      <c r="A463">
        <f>'CAR PROMAX FILIAL CRUZ'!O457</f>
        <v>0</v>
      </c>
      <c r="B463" s="33" t="str">
        <f t="shared" si="17"/>
        <v xml:space="preserve"> </v>
      </c>
      <c r="C463" s="33" t="str">
        <f t="shared" si="16"/>
        <v xml:space="preserve"> </v>
      </c>
      <c r="D463" s="34" t="str">
        <f>IF(A463&lt;0,'CAR PROMAX FILIAL CRUZ'!B457," ")</f>
        <v xml:space="preserve"> </v>
      </c>
      <c r="E463" s="35" t="str">
        <f>IF(A463&lt;0,'CAR PROMAX FILIAL CRUZ'!C457," ")</f>
        <v xml:space="preserve"> </v>
      </c>
      <c r="F463" s="34" t="str">
        <f>IF(A463&lt;0,'CAR PROMAX FILIAL CRUZ'!D457," ")</f>
        <v xml:space="preserve"> </v>
      </c>
      <c r="G463" s="34" t="str">
        <f>IF(A463&lt;0,'CAR PROMAX FILIAL CRUZ'!E457," ")</f>
        <v xml:space="preserve"> </v>
      </c>
      <c r="H463" s="34" t="str">
        <f>IF(A463&lt;0,'CAR PROMAX FILIAL CRUZ'!J457," ")</f>
        <v xml:space="preserve"> </v>
      </c>
      <c r="I463" s="34"/>
      <c r="J463" s="34"/>
      <c r="K463" s="34" t="str">
        <f>IF(A463&lt;0,'CAR PROMAX FILIAL CRUZ'!O457," ")</f>
        <v xml:space="preserve"> </v>
      </c>
      <c r="L463" s="36" t="str">
        <f>IF(A463&lt;0,'CAR PROMAX FILIAL CRUZ'!P457," ")</f>
        <v xml:space="preserve"> </v>
      </c>
      <c r="M463" s="36" t="str">
        <f>IF(A463&lt;0,'CAR PROMAX FILIAL CRUZ'!Q457," ")</f>
        <v xml:space="preserve"> </v>
      </c>
      <c r="N463" s="36" t="str">
        <f>IF(A463&lt;0,'CAR PROMAX FILIAL CRUZ'!R457," ")</f>
        <v xml:space="preserve"> </v>
      </c>
      <c r="O463" s="37" t="str">
        <f>IF(A463&lt;0,'CAR PROMAX FILIAL CRUZ'!S457," ")</f>
        <v xml:space="preserve"> </v>
      </c>
      <c r="P463" s="37" t="str">
        <f>IF(A463&lt;0,'CAR PROMAX FILIAL CRUZ'!T457," ")</f>
        <v xml:space="preserve"> </v>
      </c>
      <c r="Q463" s="37" t="str">
        <f>IF(A463&lt;0,'CAR PROMAX FILIAL CRUZ'!U457," ")</f>
        <v xml:space="preserve"> </v>
      </c>
      <c r="R463" s="34" t="str">
        <f>IF(A463&lt;0,'CAR PROMAX FILIAL CRUZ'!V457," ")</f>
        <v xml:space="preserve"> </v>
      </c>
    </row>
    <row r="464" spans="1:18" x14ac:dyDescent="0.25">
      <c r="A464">
        <f>'CAR PROMAX FILIAL CRUZ'!O458</f>
        <v>0</v>
      </c>
      <c r="B464" s="33" t="str">
        <f t="shared" si="17"/>
        <v xml:space="preserve"> </v>
      </c>
      <c r="C464" s="33" t="str">
        <f t="shared" si="16"/>
        <v xml:space="preserve"> </v>
      </c>
      <c r="D464" s="34" t="str">
        <f>IF(A464&lt;0,'CAR PROMAX FILIAL CRUZ'!B458," ")</f>
        <v xml:space="preserve"> </v>
      </c>
      <c r="E464" s="35" t="str">
        <f>IF(A464&lt;0,'CAR PROMAX FILIAL CRUZ'!C458," ")</f>
        <v xml:space="preserve"> </v>
      </c>
      <c r="F464" s="34" t="str">
        <f>IF(A464&lt;0,'CAR PROMAX FILIAL CRUZ'!D458," ")</f>
        <v xml:space="preserve"> </v>
      </c>
      <c r="G464" s="34" t="str">
        <f>IF(A464&lt;0,'CAR PROMAX FILIAL CRUZ'!E458," ")</f>
        <v xml:space="preserve"> </v>
      </c>
      <c r="H464" s="34" t="str">
        <f>IF(A464&lt;0,'CAR PROMAX FILIAL CRUZ'!J458," ")</f>
        <v xml:space="preserve"> </v>
      </c>
      <c r="I464" s="34"/>
      <c r="J464" s="34"/>
      <c r="K464" s="34" t="str">
        <f>IF(A464&lt;0,'CAR PROMAX FILIAL CRUZ'!O458," ")</f>
        <v xml:space="preserve"> </v>
      </c>
      <c r="L464" s="36" t="str">
        <f>IF(A464&lt;0,'CAR PROMAX FILIAL CRUZ'!P458," ")</f>
        <v xml:space="preserve"> </v>
      </c>
      <c r="M464" s="36" t="str">
        <f>IF(A464&lt;0,'CAR PROMAX FILIAL CRUZ'!Q458," ")</f>
        <v xml:space="preserve"> </v>
      </c>
      <c r="N464" s="36" t="str">
        <f>IF(A464&lt;0,'CAR PROMAX FILIAL CRUZ'!R458," ")</f>
        <v xml:space="preserve"> </v>
      </c>
      <c r="O464" s="37" t="str">
        <f>IF(A464&lt;0,'CAR PROMAX FILIAL CRUZ'!S458," ")</f>
        <v xml:space="preserve"> </v>
      </c>
      <c r="P464" s="37" t="str">
        <f>IF(A464&lt;0,'CAR PROMAX FILIAL CRUZ'!T458," ")</f>
        <v xml:space="preserve"> </v>
      </c>
      <c r="Q464" s="37" t="str">
        <f>IF(A464&lt;0,'CAR PROMAX FILIAL CRUZ'!U458," ")</f>
        <v xml:space="preserve"> </v>
      </c>
      <c r="R464" s="34" t="str">
        <f>IF(A464&lt;0,'CAR PROMAX FILIAL CRUZ'!V458," ")</f>
        <v xml:space="preserve"> </v>
      </c>
    </row>
    <row r="465" spans="1:18" x14ac:dyDescent="0.25">
      <c r="A465">
        <f>'CAR PROMAX FILIAL CRUZ'!O459</f>
        <v>0</v>
      </c>
      <c r="B465" s="33" t="str">
        <f t="shared" si="17"/>
        <v xml:space="preserve"> </v>
      </c>
      <c r="C465" s="33" t="str">
        <f t="shared" si="16"/>
        <v xml:space="preserve"> </v>
      </c>
      <c r="D465" s="34" t="str">
        <f>IF(A465&lt;0,'CAR PROMAX FILIAL CRUZ'!B459," ")</f>
        <v xml:space="preserve"> </v>
      </c>
      <c r="E465" s="35" t="str">
        <f>IF(A465&lt;0,'CAR PROMAX FILIAL CRUZ'!C459," ")</f>
        <v xml:space="preserve"> </v>
      </c>
      <c r="F465" s="34" t="str">
        <f>IF(A465&lt;0,'CAR PROMAX FILIAL CRUZ'!D459," ")</f>
        <v xml:space="preserve"> </v>
      </c>
      <c r="G465" s="34" t="str">
        <f>IF(A465&lt;0,'CAR PROMAX FILIAL CRUZ'!E459," ")</f>
        <v xml:space="preserve"> </v>
      </c>
      <c r="H465" s="34" t="str">
        <f>IF(A465&lt;0,'CAR PROMAX FILIAL CRUZ'!J459," ")</f>
        <v xml:space="preserve"> </v>
      </c>
      <c r="I465" s="34"/>
      <c r="J465" s="34"/>
      <c r="K465" s="34" t="str">
        <f>IF(A465&lt;0,'CAR PROMAX FILIAL CRUZ'!O459," ")</f>
        <v xml:space="preserve"> </v>
      </c>
      <c r="L465" s="36" t="str">
        <f>IF(A465&lt;0,'CAR PROMAX FILIAL CRUZ'!P459," ")</f>
        <v xml:space="preserve"> </v>
      </c>
      <c r="M465" s="36" t="str">
        <f>IF(A465&lt;0,'CAR PROMAX FILIAL CRUZ'!Q459," ")</f>
        <v xml:space="preserve"> </v>
      </c>
      <c r="N465" s="36" t="str">
        <f>IF(A465&lt;0,'CAR PROMAX FILIAL CRUZ'!R459," ")</f>
        <v xml:space="preserve"> </v>
      </c>
      <c r="O465" s="37" t="str">
        <f>IF(A465&lt;0,'CAR PROMAX FILIAL CRUZ'!S459," ")</f>
        <v xml:space="preserve"> </v>
      </c>
      <c r="P465" s="37" t="str">
        <f>IF(A465&lt;0,'CAR PROMAX FILIAL CRUZ'!T459," ")</f>
        <v xml:space="preserve"> </v>
      </c>
      <c r="Q465" s="37" t="str">
        <f>IF(A465&lt;0,'CAR PROMAX FILIAL CRUZ'!U459," ")</f>
        <v xml:space="preserve"> </v>
      </c>
      <c r="R465" s="34" t="str">
        <f>IF(A465&lt;0,'CAR PROMAX FILIAL CRUZ'!V459," ")</f>
        <v xml:space="preserve"> </v>
      </c>
    </row>
    <row r="466" spans="1:18" x14ac:dyDescent="0.25">
      <c r="A466">
        <f>'CAR PROMAX FILIAL CRUZ'!O460</f>
        <v>0</v>
      </c>
      <c r="B466" s="33" t="str">
        <f t="shared" si="17"/>
        <v xml:space="preserve"> </v>
      </c>
      <c r="C466" s="33" t="str">
        <f t="shared" si="16"/>
        <v xml:space="preserve"> </v>
      </c>
      <c r="D466" s="34" t="str">
        <f>IF(A466&lt;0,'CAR PROMAX FILIAL CRUZ'!B460," ")</f>
        <v xml:space="preserve"> </v>
      </c>
      <c r="E466" s="35" t="str">
        <f>IF(A466&lt;0,'CAR PROMAX FILIAL CRUZ'!C460," ")</f>
        <v xml:space="preserve"> </v>
      </c>
      <c r="F466" s="34" t="str">
        <f>IF(A466&lt;0,'CAR PROMAX FILIAL CRUZ'!D460," ")</f>
        <v xml:space="preserve"> </v>
      </c>
      <c r="G466" s="34" t="str">
        <f>IF(A466&lt;0,'CAR PROMAX FILIAL CRUZ'!E460," ")</f>
        <v xml:space="preserve"> </v>
      </c>
      <c r="H466" s="34" t="str">
        <f>IF(A466&lt;0,'CAR PROMAX FILIAL CRUZ'!J460," ")</f>
        <v xml:space="preserve"> </v>
      </c>
      <c r="I466" s="34"/>
      <c r="J466" s="34"/>
      <c r="K466" s="34" t="str">
        <f>IF(A466&lt;0,'CAR PROMAX FILIAL CRUZ'!O460," ")</f>
        <v xml:space="preserve"> </v>
      </c>
      <c r="L466" s="36" t="str">
        <f>IF(A466&lt;0,'CAR PROMAX FILIAL CRUZ'!P460," ")</f>
        <v xml:space="preserve"> </v>
      </c>
      <c r="M466" s="36" t="str">
        <f>IF(A466&lt;0,'CAR PROMAX FILIAL CRUZ'!Q460," ")</f>
        <v xml:space="preserve"> </v>
      </c>
      <c r="N466" s="36" t="str">
        <f>IF(A466&lt;0,'CAR PROMAX FILIAL CRUZ'!R460," ")</f>
        <v xml:space="preserve"> </v>
      </c>
      <c r="O466" s="37" t="str">
        <f>IF(A466&lt;0,'CAR PROMAX FILIAL CRUZ'!S460," ")</f>
        <v xml:space="preserve"> </v>
      </c>
      <c r="P466" s="37" t="str">
        <f>IF(A466&lt;0,'CAR PROMAX FILIAL CRUZ'!T460," ")</f>
        <v xml:space="preserve"> </v>
      </c>
      <c r="Q466" s="37" t="str">
        <f>IF(A466&lt;0,'CAR PROMAX FILIAL CRUZ'!U460," ")</f>
        <v xml:space="preserve"> </v>
      </c>
      <c r="R466" s="34" t="str">
        <f>IF(A466&lt;0,'CAR PROMAX FILIAL CRUZ'!V460," ")</f>
        <v xml:space="preserve"> </v>
      </c>
    </row>
    <row r="467" spans="1:18" x14ac:dyDescent="0.25">
      <c r="A467">
        <f>'CAR PROMAX FILIAL CRUZ'!O461</f>
        <v>0</v>
      </c>
      <c r="B467" s="33" t="str">
        <f t="shared" si="17"/>
        <v xml:space="preserve"> </v>
      </c>
      <c r="C467" s="33" t="str">
        <f t="shared" si="16"/>
        <v xml:space="preserve"> </v>
      </c>
      <c r="D467" s="34" t="str">
        <f>IF(A467&lt;0,'CAR PROMAX FILIAL CRUZ'!B461," ")</f>
        <v xml:space="preserve"> </v>
      </c>
      <c r="E467" s="35" t="str">
        <f>IF(A467&lt;0,'CAR PROMAX FILIAL CRUZ'!C461," ")</f>
        <v xml:space="preserve"> </v>
      </c>
      <c r="F467" s="34" t="str">
        <f>IF(A467&lt;0,'CAR PROMAX FILIAL CRUZ'!D461," ")</f>
        <v xml:space="preserve"> </v>
      </c>
      <c r="G467" s="34" t="str">
        <f>IF(A467&lt;0,'CAR PROMAX FILIAL CRUZ'!E461," ")</f>
        <v xml:space="preserve"> </v>
      </c>
      <c r="H467" s="34" t="str">
        <f>IF(A467&lt;0,'CAR PROMAX FILIAL CRUZ'!J461," ")</f>
        <v xml:space="preserve"> </v>
      </c>
      <c r="I467" s="34"/>
      <c r="J467" s="34"/>
      <c r="K467" s="34" t="str">
        <f>IF(A467&lt;0,'CAR PROMAX FILIAL CRUZ'!O461," ")</f>
        <v xml:space="preserve"> </v>
      </c>
      <c r="L467" s="36" t="str">
        <f>IF(A467&lt;0,'CAR PROMAX FILIAL CRUZ'!P461," ")</f>
        <v xml:space="preserve"> </v>
      </c>
      <c r="M467" s="36" t="str">
        <f>IF(A467&lt;0,'CAR PROMAX FILIAL CRUZ'!Q461," ")</f>
        <v xml:space="preserve"> </v>
      </c>
      <c r="N467" s="36" t="str">
        <f>IF(A467&lt;0,'CAR PROMAX FILIAL CRUZ'!R461," ")</f>
        <v xml:space="preserve"> </v>
      </c>
      <c r="O467" s="37" t="str">
        <f>IF(A467&lt;0,'CAR PROMAX FILIAL CRUZ'!S461," ")</f>
        <v xml:space="preserve"> </v>
      </c>
      <c r="P467" s="37" t="str">
        <f>IF(A467&lt;0,'CAR PROMAX FILIAL CRUZ'!T461," ")</f>
        <v xml:space="preserve"> </v>
      </c>
      <c r="Q467" s="37" t="str">
        <f>IF(A467&lt;0,'CAR PROMAX FILIAL CRUZ'!U461," ")</f>
        <v xml:space="preserve"> </v>
      </c>
      <c r="R467" s="34" t="str">
        <f>IF(A467&lt;0,'CAR PROMAX FILIAL CRUZ'!V461," ")</f>
        <v xml:space="preserve"> </v>
      </c>
    </row>
    <row r="468" spans="1:18" x14ac:dyDescent="0.25">
      <c r="A468">
        <f>'CAR PROMAX FILIAL CRUZ'!O462</f>
        <v>0</v>
      </c>
      <c r="B468" s="33" t="str">
        <f t="shared" si="17"/>
        <v xml:space="preserve"> </v>
      </c>
      <c r="C468" s="33" t="str">
        <f t="shared" si="16"/>
        <v xml:space="preserve"> </v>
      </c>
      <c r="D468" s="34" t="str">
        <f>IF(A468&lt;0,'CAR PROMAX FILIAL CRUZ'!B462," ")</f>
        <v xml:space="preserve"> </v>
      </c>
      <c r="E468" s="35" t="str">
        <f>IF(A468&lt;0,'CAR PROMAX FILIAL CRUZ'!C462," ")</f>
        <v xml:space="preserve"> </v>
      </c>
      <c r="F468" s="34" t="str">
        <f>IF(A468&lt;0,'CAR PROMAX FILIAL CRUZ'!D462," ")</f>
        <v xml:space="preserve"> </v>
      </c>
      <c r="G468" s="34" t="str">
        <f>IF(A468&lt;0,'CAR PROMAX FILIAL CRUZ'!E462," ")</f>
        <v xml:space="preserve"> </v>
      </c>
      <c r="H468" s="34" t="str">
        <f>IF(A468&lt;0,'CAR PROMAX FILIAL CRUZ'!J462," ")</f>
        <v xml:space="preserve"> </v>
      </c>
      <c r="I468" s="34"/>
      <c r="J468" s="34"/>
      <c r="K468" s="34" t="str">
        <f>IF(A468&lt;0,'CAR PROMAX FILIAL CRUZ'!O462," ")</f>
        <v xml:space="preserve"> </v>
      </c>
      <c r="L468" s="36" t="str">
        <f>IF(A468&lt;0,'CAR PROMAX FILIAL CRUZ'!P462," ")</f>
        <v xml:space="preserve"> </v>
      </c>
      <c r="M468" s="36" t="str">
        <f>IF(A468&lt;0,'CAR PROMAX FILIAL CRUZ'!Q462," ")</f>
        <v xml:space="preserve"> </v>
      </c>
      <c r="N468" s="36" t="str">
        <f>IF(A468&lt;0,'CAR PROMAX FILIAL CRUZ'!R462," ")</f>
        <v xml:space="preserve"> </v>
      </c>
      <c r="O468" s="37" t="str">
        <f>IF(A468&lt;0,'CAR PROMAX FILIAL CRUZ'!S462," ")</f>
        <v xml:space="preserve"> </v>
      </c>
      <c r="P468" s="37" t="str">
        <f>IF(A468&lt;0,'CAR PROMAX FILIAL CRUZ'!T462," ")</f>
        <v xml:space="preserve"> </v>
      </c>
      <c r="Q468" s="37" t="str">
        <f>IF(A468&lt;0,'CAR PROMAX FILIAL CRUZ'!U462," ")</f>
        <v xml:space="preserve"> </v>
      </c>
      <c r="R468" s="34" t="str">
        <f>IF(A468&lt;0,'CAR PROMAX FILIAL CRUZ'!V462," ")</f>
        <v xml:space="preserve"> </v>
      </c>
    </row>
    <row r="469" spans="1:18" x14ac:dyDescent="0.25">
      <c r="A469">
        <f>'CAR PROMAX FILIAL CRUZ'!O463</f>
        <v>0</v>
      </c>
      <c r="B469" s="33" t="str">
        <f t="shared" si="17"/>
        <v xml:space="preserve"> </v>
      </c>
      <c r="C469" s="33" t="str">
        <f t="shared" si="16"/>
        <v xml:space="preserve"> </v>
      </c>
      <c r="D469" s="34" t="str">
        <f>IF(A469&lt;0,'CAR PROMAX FILIAL CRUZ'!B463," ")</f>
        <v xml:space="preserve"> </v>
      </c>
      <c r="E469" s="35" t="str">
        <f>IF(A469&lt;0,'CAR PROMAX FILIAL CRUZ'!C463," ")</f>
        <v xml:space="preserve"> </v>
      </c>
      <c r="F469" s="34" t="str">
        <f>IF(A469&lt;0,'CAR PROMAX FILIAL CRUZ'!D463," ")</f>
        <v xml:space="preserve"> </v>
      </c>
      <c r="G469" s="34" t="str">
        <f>IF(A469&lt;0,'CAR PROMAX FILIAL CRUZ'!E463," ")</f>
        <v xml:space="preserve"> </v>
      </c>
      <c r="H469" s="34" t="str">
        <f>IF(A469&lt;0,'CAR PROMAX FILIAL CRUZ'!J463," ")</f>
        <v xml:space="preserve"> </v>
      </c>
      <c r="I469" s="34"/>
      <c r="J469" s="34"/>
      <c r="K469" s="34" t="str">
        <f>IF(A469&lt;0,'CAR PROMAX FILIAL CRUZ'!O463," ")</f>
        <v xml:space="preserve"> </v>
      </c>
      <c r="L469" s="36" t="str">
        <f>IF(A469&lt;0,'CAR PROMAX FILIAL CRUZ'!P463," ")</f>
        <v xml:space="preserve"> </v>
      </c>
      <c r="M469" s="36" t="str">
        <f>IF(A469&lt;0,'CAR PROMAX FILIAL CRUZ'!Q463," ")</f>
        <v xml:space="preserve"> </v>
      </c>
      <c r="N469" s="36" t="str">
        <f>IF(A469&lt;0,'CAR PROMAX FILIAL CRUZ'!R463," ")</f>
        <v xml:space="preserve"> </v>
      </c>
      <c r="O469" s="37" t="str">
        <f>IF(A469&lt;0,'CAR PROMAX FILIAL CRUZ'!S463," ")</f>
        <v xml:space="preserve"> </v>
      </c>
      <c r="P469" s="37" t="str">
        <f>IF(A469&lt;0,'CAR PROMAX FILIAL CRUZ'!T463," ")</f>
        <v xml:space="preserve"> </v>
      </c>
      <c r="Q469" s="37" t="str">
        <f>IF(A469&lt;0,'CAR PROMAX FILIAL CRUZ'!U463," ")</f>
        <v xml:space="preserve"> </v>
      </c>
      <c r="R469" s="34" t="str">
        <f>IF(A469&lt;0,'CAR PROMAX FILIAL CRUZ'!V463," ")</f>
        <v xml:space="preserve"> </v>
      </c>
    </row>
    <row r="470" spans="1:18" x14ac:dyDescent="0.25">
      <c r="A470">
        <f>'CAR PROMAX FILIAL CRUZ'!O464</f>
        <v>0</v>
      </c>
      <c r="B470" s="33" t="str">
        <f t="shared" si="17"/>
        <v xml:space="preserve"> </v>
      </c>
      <c r="C470" s="33" t="str">
        <f t="shared" si="16"/>
        <v xml:space="preserve"> </v>
      </c>
      <c r="D470" s="34" t="str">
        <f>IF(A470&lt;0,'CAR PROMAX FILIAL CRUZ'!B464," ")</f>
        <v xml:space="preserve"> </v>
      </c>
      <c r="E470" s="35" t="str">
        <f>IF(A470&lt;0,'CAR PROMAX FILIAL CRUZ'!C464," ")</f>
        <v xml:space="preserve"> </v>
      </c>
      <c r="F470" s="34" t="str">
        <f>IF(A470&lt;0,'CAR PROMAX FILIAL CRUZ'!D464," ")</f>
        <v xml:space="preserve"> </v>
      </c>
      <c r="G470" s="34" t="str">
        <f>IF(A470&lt;0,'CAR PROMAX FILIAL CRUZ'!E464," ")</f>
        <v xml:space="preserve"> </v>
      </c>
      <c r="H470" s="34" t="str">
        <f>IF(A470&lt;0,'CAR PROMAX FILIAL CRUZ'!J464," ")</f>
        <v xml:space="preserve"> </v>
      </c>
      <c r="I470" s="34"/>
      <c r="J470" s="34"/>
      <c r="K470" s="34" t="str">
        <f>IF(A470&lt;0,'CAR PROMAX FILIAL CRUZ'!O464," ")</f>
        <v xml:space="preserve"> </v>
      </c>
      <c r="L470" s="36" t="str">
        <f>IF(A470&lt;0,'CAR PROMAX FILIAL CRUZ'!P464," ")</f>
        <v xml:space="preserve"> </v>
      </c>
      <c r="M470" s="36" t="str">
        <f>IF(A470&lt;0,'CAR PROMAX FILIAL CRUZ'!Q464," ")</f>
        <v xml:space="preserve"> </v>
      </c>
      <c r="N470" s="36" t="str">
        <f>IF(A470&lt;0,'CAR PROMAX FILIAL CRUZ'!R464," ")</f>
        <v xml:space="preserve"> </v>
      </c>
      <c r="O470" s="37" t="str">
        <f>IF(A470&lt;0,'CAR PROMAX FILIAL CRUZ'!S464," ")</f>
        <v xml:space="preserve"> </v>
      </c>
      <c r="P470" s="37" t="str">
        <f>IF(A470&lt;0,'CAR PROMAX FILIAL CRUZ'!T464," ")</f>
        <v xml:space="preserve"> </v>
      </c>
      <c r="Q470" s="37" t="str">
        <f>IF(A470&lt;0,'CAR PROMAX FILIAL CRUZ'!U464," ")</f>
        <v xml:space="preserve"> </v>
      </c>
      <c r="R470" s="34" t="str">
        <f>IF(A470&lt;0,'CAR PROMAX FILIAL CRUZ'!V464," ")</f>
        <v xml:space="preserve"> </v>
      </c>
    </row>
    <row r="471" spans="1:18" x14ac:dyDescent="0.25">
      <c r="A471">
        <f>'CAR PROMAX FILIAL CRUZ'!O465</f>
        <v>0</v>
      </c>
      <c r="B471" s="33" t="str">
        <f t="shared" si="17"/>
        <v xml:space="preserve"> </v>
      </c>
      <c r="C471" s="33" t="str">
        <f t="shared" si="16"/>
        <v xml:space="preserve"> </v>
      </c>
      <c r="D471" s="34" t="str">
        <f>IF(A471&lt;0,'CAR PROMAX FILIAL CRUZ'!B465," ")</f>
        <v xml:space="preserve"> </v>
      </c>
      <c r="E471" s="35" t="str">
        <f>IF(A471&lt;0,'CAR PROMAX FILIAL CRUZ'!C465," ")</f>
        <v xml:space="preserve"> </v>
      </c>
      <c r="F471" s="34" t="str">
        <f>IF(A471&lt;0,'CAR PROMAX FILIAL CRUZ'!D465," ")</f>
        <v xml:space="preserve"> </v>
      </c>
      <c r="G471" s="34" t="str">
        <f>IF(A471&lt;0,'CAR PROMAX FILIAL CRUZ'!E465," ")</f>
        <v xml:space="preserve"> </v>
      </c>
      <c r="H471" s="34" t="str">
        <f>IF(A471&lt;0,'CAR PROMAX FILIAL CRUZ'!J465," ")</f>
        <v xml:space="preserve"> </v>
      </c>
      <c r="I471" s="34"/>
      <c r="J471" s="34"/>
      <c r="K471" s="34" t="str">
        <f>IF(A471&lt;0,'CAR PROMAX FILIAL CRUZ'!O465," ")</f>
        <v xml:space="preserve"> </v>
      </c>
      <c r="L471" s="36" t="str">
        <f>IF(A471&lt;0,'CAR PROMAX FILIAL CRUZ'!P465," ")</f>
        <v xml:space="preserve"> </v>
      </c>
      <c r="M471" s="36" t="str">
        <f>IF(A471&lt;0,'CAR PROMAX FILIAL CRUZ'!Q465," ")</f>
        <v xml:space="preserve"> </v>
      </c>
      <c r="N471" s="36" t="str">
        <f>IF(A471&lt;0,'CAR PROMAX FILIAL CRUZ'!R465," ")</f>
        <v xml:space="preserve"> </v>
      </c>
      <c r="O471" s="37" t="str">
        <f>IF(A471&lt;0,'CAR PROMAX FILIAL CRUZ'!S465," ")</f>
        <v xml:space="preserve"> </v>
      </c>
      <c r="P471" s="37" t="str">
        <f>IF(A471&lt;0,'CAR PROMAX FILIAL CRUZ'!T465," ")</f>
        <v xml:space="preserve"> </v>
      </c>
      <c r="Q471" s="37" t="str">
        <f>IF(A471&lt;0,'CAR PROMAX FILIAL CRUZ'!U465," ")</f>
        <v xml:space="preserve"> </v>
      </c>
      <c r="R471" s="34" t="str">
        <f>IF(A471&lt;0,'CAR PROMAX FILIAL CRUZ'!V465," ")</f>
        <v xml:space="preserve"> </v>
      </c>
    </row>
    <row r="472" spans="1:18" x14ac:dyDescent="0.25">
      <c r="A472">
        <f>'CAR PROMAX FILIAL CRUZ'!O466</f>
        <v>0</v>
      </c>
      <c r="B472" s="33" t="str">
        <f t="shared" si="17"/>
        <v xml:space="preserve"> </v>
      </c>
      <c r="C472" s="33" t="str">
        <f t="shared" si="16"/>
        <v xml:space="preserve"> </v>
      </c>
      <c r="D472" s="34" t="str">
        <f>IF(A472&lt;0,'CAR PROMAX FILIAL CRUZ'!B466," ")</f>
        <v xml:space="preserve"> </v>
      </c>
      <c r="E472" s="35" t="str">
        <f>IF(A472&lt;0,'CAR PROMAX FILIAL CRUZ'!C466," ")</f>
        <v xml:space="preserve"> </v>
      </c>
      <c r="F472" s="34" t="str">
        <f>IF(A472&lt;0,'CAR PROMAX FILIAL CRUZ'!D466," ")</f>
        <v xml:space="preserve"> </v>
      </c>
      <c r="G472" s="34" t="str">
        <f>IF(A472&lt;0,'CAR PROMAX FILIAL CRUZ'!E466," ")</f>
        <v xml:space="preserve"> </v>
      </c>
      <c r="H472" s="34" t="str">
        <f>IF(A472&lt;0,'CAR PROMAX FILIAL CRUZ'!J466," ")</f>
        <v xml:space="preserve"> </v>
      </c>
      <c r="I472" s="34"/>
      <c r="J472" s="34"/>
      <c r="K472" s="34" t="str">
        <f>IF(A472&lt;0,'CAR PROMAX FILIAL CRUZ'!O466," ")</f>
        <v xml:space="preserve"> </v>
      </c>
      <c r="L472" s="36" t="str">
        <f>IF(A472&lt;0,'CAR PROMAX FILIAL CRUZ'!P466," ")</f>
        <v xml:space="preserve"> </v>
      </c>
      <c r="M472" s="36" t="str">
        <f>IF(A472&lt;0,'CAR PROMAX FILIAL CRUZ'!Q466," ")</f>
        <v xml:space="preserve"> </v>
      </c>
      <c r="N472" s="36" t="str">
        <f>IF(A472&lt;0,'CAR PROMAX FILIAL CRUZ'!R466," ")</f>
        <v xml:space="preserve"> </v>
      </c>
      <c r="O472" s="37" t="str">
        <f>IF(A472&lt;0,'CAR PROMAX FILIAL CRUZ'!S466," ")</f>
        <v xml:space="preserve"> </v>
      </c>
      <c r="P472" s="37" t="str">
        <f>IF(A472&lt;0,'CAR PROMAX FILIAL CRUZ'!T466," ")</f>
        <v xml:space="preserve"> </v>
      </c>
      <c r="Q472" s="37" t="str">
        <f>IF(A472&lt;0,'CAR PROMAX FILIAL CRUZ'!U466," ")</f>
        <v xml:space="preserve"> </v>
      </c>
      <c r="R472" s="34" t="str">
        <f>IF(A472&lt;0,'CAR PROMAX FILIAL CRUZ'!V466," ")</f>
        <v xml:space="preserve"> </v>
      </c>
    </row>
    <row r="473" spans="1:18" x14ac:dyDescent="0.25">
      <c r="A473">
        <f>'CAR PROMAX FILIAL CRUZ'!O467</f>
        <v>0</v>
      </c>
      <c r="B473" s="33" t="str">
        <f t="shared" si="17"/>
        <v xml:space="preserve"> </v>
      </c>
      <c r="C473" s="33" t="str">
        <f t="shared" si="16"/>
        <v xml:space="preserve"> </v>
      </c>
      <c r="D473" s="34" t="str">
        <f>IF(A473&lt;0,'CAR PROMAX FILIAL CRUZ'!B467," ")</f>
        <v xml:space="preserve"> </v>
      </c>
      <c r="E473" s="35" t="str">
        <f>IF(A473&lt;0,'CAR PROMAX FILIAL CRUZ'!C467," ")</f>
        <v xml:space="preserve"> </v>
      </c>
      <c r="F473" s="34" t="str">
        <f>IF(A473&lt;0,'CAR PROMAX FILIAL CRUZ'!D467," ")</f>
        <v xml:space="preserve"> </v>
      </c>
      <c r="G473" s="34" t="str">
        <f>IF(A473&lt;0,'CAR PROMAX FILIAL CRUZ'!E467," ")</f>
        <v xml:space="preserve"> </v>
      </c>
      <c r="H473" s="34" t="str">
        <f>IF(A473&lt;0,'CAR PROMAX FILIAL CRUZ'!J467," ")</f>
        <v xml:space="preserve"> </v>
      </c>
      <c r="I473" s="34"/>
      <c r="J473" s="34"/>
      <c r="K473" s="34" t="str">
        <f>IF(A473&lt;0,'CAR PROMAX FILIAL CRUZ'!O467," ")</f>
        <v xml:space="preserve"> </v>
      </c>
      <c r="L473" s="36" t="str">
        <f>IF(A473&lt;0,'CAR PROMAX FILIAL CRUZ'!P467," ")</f>
        <v xml:space="preserve"> </v>
      </c>
      <c r="M473" s="36" t="str">
        <f>IF(A473&lt;0,'CAR PROMAX FILIAL CRUZ'!Q467," ")</f>
        <v xml:space="preserve"> </v>
      </c>
      <c r="N473" s="36" t="str">
        <f>IF(A473&lt;0,'CAR PROMAX FILIAL CRUZ'!R467," ")</f>
        <v xml:space="preserve"> </v>
      </c>
      <c r="O473" s="37" t="str">
        <f>IF(A473&lt;0,'CAR PROMAX FILIAL CRUZ'!S467," ")</f>
        <v xml:space="preserve"> </v>
      </c>
      <c r="P473" s="37" t="str">
        <f>IF(A473&lt;0,'CAR PROMAX FILIAL CRUZ'!T467," ")</f>
        <v xml:space="preserve"> </v>
      </c>
      <c r="Q473" s="37" t="str">
        <f>IF(A473&lt;0,'CAR PROMAX FILIAL CRUZ'!U467," ")</f>
        <v xml:space="preserve"> </v>
      </c>
      <c r="R473" s="34" t="str">
        <f>IF(A473&lt;0,'CAR PROMAX FILIAL CRUZ'!V467," ")</f>
        <v xml:space="preserve"> </v>
      </c>
    </row>
    <row r="474" spans="1:18" x14ac:dyDescent="0.25">
      <c r="A474">
        <f>'CAR PROMAX FILIAL CRUZ'!O468</f>
        <v>0</v>
      </c>
      <c r="B474" s="33" t="str">
        <f t="shared" si="17"/>
        <v xml:space="preserve"> </v>
      </c>
      <c r="C474" s="33" t="str">
        <f t="shared" si="16"/>
        <v xml:space="preserve"> </v>
      </c>
      <c r="D474" s="34" t="str">
        <f>IF(A474&lt;0,'CAR PROMAX FILIAL CRUZ'!B468," ")</f>
        <v xml:space="preserve"> </v>
      </c>
      <c r="E474" s="35" t="str">
        <f>IF(A474&lt;0,'CAR PROMAX FILIAL CRUZ'!C468," ")</f>
        <v xml:space="preserve"> </v>
      </c>
      <c r="F474" s="34" t="str">
        <f>IF(A474&lt;0,'CAR PROMAX FILIAL CRUZ'!D468," ")</f>
        <v xml:space="preserve"> </v>
      </c>
      <c r="G474" s="34" t="str">
        <f>IF(A474&lt;0,'CAR PROMAX FILIAL CRUZ'!E468," ")</f>
        <v xml:space="preserve"> </v>
      </c>
      <c r="H474" s="34" t="str">
        <f>IF(A474&lt;0,'CAR PROMAX FILIAL CRUZ'!J468," ")</f>
        <v xml:space="preserve"> </v>
      </c>
      <c r="I474" s="34"/>
      <c r="J474" s="34"/>
      <c r="K474" s="34" t="str">
        <f>IF(A474&lt;0,'CAR PROMAX FILIAL CRUZ'!O468," ")</f>
        <v xml:space="preserve"> </v>
      </c>
      <c r="L474" s="36" t="str">
        <f>IF(A474&lt;0,'CAR PROMAX FILIAL CRUZ'!P468," ")</f>
        <v xml:space="preserve"> </v>
      </c>
      <c r="M474" s="36" t="str">
        <f>IF(A474&lt;0,'CAR PROMAX FILIAL CRUZ'!Q468," ")</f>
        <v xml:space="preserve"> </v>
      </c>
      <c r="N474" s="36" t="str">
        <f>IF(A474&lt;0,'CAR PROMAX FILIAL CRUZ'!R468," ")</f>
        <v xml:space="preserve"> </v>
      </c>
      <c r="O474" s="37" t="str">
        <f>IF(A474&lt;0,'CAR PROMAX FILIAL CRUZ'!S468," ")</f>
        <v xml:space="preserve"> </v>
      </c>
      <c r="P474" s="37" t="str">
        <f>IF(A474&lt;0,'CAR PROMAX FILIAL CRUZ'!T468," ")</f>
        <v xml:space="preserve"> </v>
      </c>
      <c r="Q474" s="37" t="str">
        <f>IF(A474&lt;0,'CAR PROMAX FILIAL CRUZ'!U468," ")</f>
        <v xml:space="preserve"> </v>
      </c>
      <c r="R474" s="34" t="str">
        <f>IF(A474&lt;0,'CAR PROMAX FILIAL CRUZ'!V468," ")</f>
        <v xml:space="preserve"> </v>
      </c>
    </row>
    <row r="475" spans="1:18" x14ac:dyDescent="0.25">
      <c r="A475">
        <f>'CAR PROMAX FILIAL CRUZ'!O469</f>
        <v>0</v>
      </c>
      <c r="B475" s="33" t="str">
        <f t="shared" si="17"/>
        <v xml:space="preserve"> </v>
      </c>
      <c r="C475" s="33" t="str">
        <f t="shared" si="16"/>
        <v xml:space="preserve"> </v>
      </c>
      <c r="D475" s="34" t="str">
        <f>IF(A475&lt;0,'CAR PROMAX FILIAL CRUZ'!B469," ")</f>
        <v xml:space="preserve"> </v>
      </c>
      <c r="E475" s="35" t="str">
        <f>IF(A475&lt;0,'CAR PROMAX FILIAL CRUZ'!C469," ")</f>
        <v xml:space="preserve"> </v>
      </c>
      <c r="F475" s="34" t="str">
        <f>IF(A475&lt;0,'CAR PROMAX FILIAL CRUZ'!D469," ")</f>
        <v xml:space="preserve"> </v>
      </c>
      <c r="G475" s="34" t="str">
        <f>IF(A475&lt;0,'CAR PROMAX FILIAL CRUZ'!E469," ")</f>
        <v xml:space="preserve"> </v>
      </c>
      <c r="H475" s="34" t="str">
        <f>IF(A475&lt;0,'CAR PROMAX FILIAL CRUZ'!J469," ")</f>
        <v xml:space="preserve"> </v>
      </c>
      <c r="I475" s="34"/>
      <c r="J475" s="34"/>
      <c r="K475" s="34" t="str">
        <f>IF(A475&lt;0,'CAR PROMAX FILIAL CRUZ'!O469," ")</f>
        <v xml:space="preserve"> </v>
      </c>
      <c r="L475" s="36" t="str">
        <f>IF(A475&lt;0,'CAR PROMAX FILIAL CRUZ'!P469," ")</f>
        <v xml:space="preserve"> </v>
      </c>
      <c r="M475" s="36" t="str">
        <f>IF(A475&lt;0,'CAR PROMAX FILIAL CRUZ'!Q469," ")</f>
        <v xml:space="preserve"> </v>
      </c>
      <c r="N475" s="36" t="str">
        <f>IF(A475&lt;0,'CAR PROMAX FILIAL CRUZ'!R469," ")</f>
        <v xml:space="preserve"> </v>
      </c>
      <c r="O475" s="37" t="str">
        <f>IF(A475&lt;0,'CAR PROMAX FILIAL CRUZ'!S469," ")</f>
        <v xml:space="preserve"> </v>
      </c>
      <c r="P475" s="37" t="str">
        <f>IF(A475&lt;0,'CAR PROMAX FILIAL CRUZ'!T469," ")</f>
        <v xml:space="preserve"> </v>
      </c>
      <c r="Q475" s="37" t="str">
        <f>IF(A475&lt;0,'CAR PROMAX FILIAL CRUZ'!U469," ")</f>
        <v xml:space="preserve"> </v>
      </c>
      <c r="R475" s="34" t="str">
        <f>IF(A475&lt;0,'CAR PROMAX FILIAL CRUZ'!V469," ")</f>
        <v xml:space="preserve"> </v>
      </c>
    </row>
    <row r="476" spans="1:18" x14ac:dyDescent="0.25">
      <c r="A476">
        <f>'CAR PROMAX FILIAL CRUZ'!O470</f>
        <v>0</v>
      </c>
      <c r="B476" s="33" t="str">
        <f t="shared" si="17"/>
        <v xml:space="preserve"> </v>
      </c>
      <c r="C476" s="33" t="str">
        <f t="shared" si="16"/>
        <v xml:space="preserve"> </v>
      </c>
      <c r="D476" s="34" t="str">
        <f>IF(A476&lt;0,'CAR PROMAX FILIAL CRUZ'!B470," ")</f>
        <v xml:space="preserve"> </v>
      </c>
      <c r="E476" s="35" t="str">
        <f>IF(A476&lt;0,'CAR PROMAX FILIAL CRUZ'!C470," ")</f>
        <v xml:space="preserve"> </v>
      </c>
      <c r="F476" s="34" t="str">
        <f>IF(A476&lt;0,'CAR PROMAX FILIAL CRUZ'!D470," ")</f>
        <v xml:space="preserve"> </v>
      </c>
      <c r="G476" s="34" t="str">
        <f>IF(A476&lt;0,'CAR PROMAX FILIAL CRUZ'!E470," ")</f>
        <v xml:space="preserve"> </v>
      </c>
      <c r="H476" s="34" t="str">
        <f>IF(A476&lt;0,'CAR PROMAX FILIAL CRUZ'!J470," ")</f>
        <v xml:space="preserve"> </v>
      </c>
      <c r="I476" s="34"/>
      <c r="J476" s="34"/>
      <c r="K476" s="34" t="str">
        <f>IF(A476&lt;0,'CAR PROMAX FILIAL CRUZ'!O470," ")</f>
        <v xml:space="preserve"> </v>
      </c>
      <c r="L476" s="36" t="str">
        <f>IF(A476&lt;0,'CAR PROMAX FILIAL CRUZ'!P470," ")</f>
        <v xml:space="preserve"> </v>
      </c>
      <c r="M476" s="36" t="str">
        <f>IF(A476&lt;0,'CAR PROMAX FILIAL CRUZ'!Q470," ")</f>
        <v xml:space="preserve"> </v>
      </c>
      <c r="N476" s="36" t="str">
        <f>IF(A476&lt;0,'CAR PROMAX FILIAL CRUZ'!R470," ")</f>
        <v xml:space="preserve"> </v>
      </c>
      <c r="O476" s="37" t="str">
        <f>IF(A476&lt;0,'CAR PROMAX FILIAL CRUZ'!S470," ")</f>
        <v xml:space="preserve"> </v>
      </c>
      <c r="P476" s="37" t="str">
        <f>IF(A476&lt;0,'CAR PROMAX FILIAL CRUZ'!T470," ")</f>
        <v xml:space="preserve"> </v>
      </c>
      <c r="Q476" s="37" t="str">
        <f>IF(A476&lt;0,'CAR PROMAX FILIAL CRUZ'!U470," ")</f>
        <v xml:space="preserve"> </v>
      </c>
      <c r="R476" s="34" t="str">
        <f>IF(A476&lt;0,'CAR PROMAX FILIAL CRUZ'!V470," ")</f>
        <v xml:space="preserve"> </v>
      </c>
    </row>
    <row r="477" spans="1:18" x14ac:dyDescent="0.25">
      <c r="A477">
        <f>'CAR PROMAX FILIAL CRUZ'!O471</f>
        <v>0</v>
      </c>
      <c r="B477" s="33" t="str">
        <f t="shared" si="17"/>
        <v xml:space="preserve"> </v>
      </c>
      <c r="C477" s="33" t="str">
        <f t="shared" si="16"/>
        <v xml:space="preserve"> </v>
      </c>
      <c r="D477" s="34" t="str">
        <f>IF(A477&lt;0,'CAR PROMAX FILIAL CRUZ'!B471," ")</f>
        <v xml:space="preserve"> </v>
      </c>
      <c r="E477" s="35" t="str">
        <f>IF(A477&lt;0,'CAR PROMAX FILIAL CRUZ'!C471," ")</f>
        <v xml:space="preserve"> </v>
      </c>
      <c r="F477" s="34" t="str">
        <f>IF(A477&lt;0,'CAR PROMAX FILIAL CRUZ'!D471," ")</f>
        <v xml:space="preserve"> </v>
      </c>
      <c r="G477" s="34" t="str">
        <f>IF(A477&lt;0,'CAR PROMAX FILIAL CRUZ'!E471," ")</f>
        <v xml:space="preserve"> </v>
      </c>
      <c r="H477" s="34" t="str">
        <f>IF(A477&lt;0,'CAR PROMAX FILIAL CRUZ'!J471," ")</f>
        <v xml:space="preserve"> </v>
      </c>
      <c r="I477" s="34"/>
      <c r="J477" s="34"/>
      <c r="K477" s="34" t="str">
        <f>IF(A477&lt;0,'CAR PROMAX FILIAL CRUZ'!O471," ")</f>
        <v xml:space="preserve"> </v>
      </c>
      <c r="L477" s="36" t="str">
        <f>IF(A477&lt;0,'CAR PROMAX FILIAL CRUZ'!P471," ")</f>
        <v xml:space="preserve"> </v>
      </c>
      <c r="M477" s="36" t="str">
        <f>IF(A477&lt;0,'CAR PROMAX FILIAL CRUZ'!Q471," ")</f>
        <v xml:space="preserve"> </v>
      </c>
      <c r="N477" s="36" t="str">
        <f>IF(A477&lt;0,'CAR PROMAX FILIAL CRUZ'!R471," ")</f>
        <v xml:space="preserve"> </v>
      </c>
      <c r="O477" s="37" t="str">
        <f>IF(A477&lt;0,'CAR PROMAX FILIAL CRUZ'!S471," ")</f>
        <v xml:space="preserve"> </v>
      </c>
      <c r="P477" s="37" t="str">
        <f>IF(A477&lt;0,'CAR PROMAX FILIAL CRUZ'!T471," ")</f>
        <v xml:space="preserve"> </v>
      </c>
      <c r="Q477" s="37" t="str">
        <f>IF(A477&lt;0,'CAR PROMAX FILIAL CRUZ'!U471," ")</f>
        <v xml:space="preserve"> </v>
      </c>
      <c r="R477" s="34" t="str">
        <f>IF(A477&lt;0,'CAR PROMAX FILIAL CRUZ'!V471," ")</f>
        <v xml:space="preserve"> </v>
      </c>
    </row>
    <row r="478" spans="1:18" x14ac:dyDescent="0.25">
      <c r="A478">
        <f>'CAR PROMAX FILIAL CRUZ'!O472</f>
        <v>0</v>
      </c>
      <c r="B478" s="33" t="str">
        <f t="shared" si="17"/>
        <v xml:space="preserve"> </v>
      </c>
      <c r="C478" s="33" t="str">
        <f t="shared" si="16"/>
        <v xml:space="preserve"> </v>
      </c>
      <c r="D478" s="34" t="str">
        <f>IF(A478&lt;0,'CAR PROMAX FILIAL CRUZ'!B472," ")</f>
        <v xml:space="preserve"> </v>
      </c>
      <c r="E478" s="35" t="str">
        <f>IF(A478&lt;0,'CAR PROMAX FILIAL CRUZ'!C472," ")</f>
        <v xml:space="preserve"> </v>
      </c>
      <c r="F478" s="34" t="str">
        <f>IF(A478&lt;0,'CAR PROMAX FILIAL CRUZ'!D472," ")</f>
        <v xml:space="preserve"> </v>
      </c>
      <c r="G478" s="34" t="str">
        <f>IF(A478&lt;0,'CAR PROMAX FILIAL CRUZ'!E472," ")</f>
        <v xml:space="preserve"> </v>
      </c>
      <c r="H478" s="34" t="str">
        <f>IF(A478&lt;0,'CAR PROMAX FILIAL CRUZ'!J472," ")</f>
        <v xml:space="preserve"> </v>
      </c>
      <c r="I478" s="34"/>
      <c r="J478" s="34"/>
      <c r="K478" s="34" t="str">
        <f>IF(A478&lt;0,'CAR PROMAX FILIAL CRUZ'!O472," ")</f>
        <v xml:space="preserve"> </v>
      </c>
      <c r="L478" s="36" t="str">
        <f>IF(A478&lt;0,'CAR PROMAX FILIAL CRUZ'!P472," ")</f>
        <v xml:space="preserve"> </v>
      </c>
      <c r="M478" s="36" t="str">
        <f>IF(A478&lt;0,'CAR PROMAX FILIAL CRUZ'!Q472," ")</f>
        <v xml:space="preserve"> </v>
      </c>
      <c r="N478" s="36" t="str">
        <f>IF(A478&lt;0,'CAR PROMAX FILIAL CRUZ'!R472," ")</f>
        <v xml:space="preserve"> </v>
      </c>
      <c r="O478" s="37" t="str">
        <f>IF(A478&lt;0,'CAR PROMAX FILIAL CRUZ'!S472," ")</f>
        <v xml:space="preserve"> </v>
      </c>
      <c r="P478" s="37" t="str">
        <f>IF(A478&lt;0,'CAR PROMAX FILIAL CRUZ'!T472," ")</f>
        <v xml:space="preserve"> </v>
      </c>
      <c r="Q478" s="37" t="str">
        <f>IF(A478&lt;0,'CAR PROMAX FILIAL CRUZ'!U472," ")</f>
        <v xml:space="preserve"> </v>
      </c>
      <c r="R478" s="34" t="str">
        <f>IF(A478&lt;0,'CAR PROMAX FILIAL CRUZ'!V472," ")</f>
        <v xml:space="preserve"> </v>
      </c>
    </row>
    <row r="479" spans="1:18" x14ac:dyDescent="0.25">
      <c r="A479">
        <f>'CAR PROMAX FILIAL CRUZ'!O473</f>
        <v>0</v>
      </c>
      <c r="B479" s="33" t="str">
        <f t="shared" si="17"/>
        <v xml:space="preserve"> </v>
      </c>
      <c r="C479" s="33" t="str">
        <f t="shared" si="16"/>
        <v xml:space="preserve"> </v>
      </c>
      <c r="D479" s="34" t="str">
        <f>IF(A479&lt;0,'CAR PROMAX FILIAL CRUZ'!B473," ")</f>
        <v xml:space="preserve"> </v>
      </c>
      <c r="E479" s="35" t="str">
        <f>IF(A479&lt;0,'CAR PROMAX FILIAL CRUZ'!C473," ")</f>
        <v xml:space="preserve"> </v>
      </c>
      <c r="F479" s="34" t="str">
        <f>IF(A479&lt;0,'CAR PROMAX FILIAL CRUZ'!D473," ")</f>
        <v xml:space="preserve"> </v>
      </c>
      <c r="G479" s="34" t="str">
        <f>IF(A479&lt;0,'CAR PROMAX FILIAL CRUZ'!E473," ")</f>
        <v xml:space="preserve"> </v>
      </c>
      <c r="H479" s="34" t="str">
        <f>IF(A479&lt;0,'CAR PROMAX FILIAL CRUZ'!J473," ")</f>
        <v xml:space="preserve"> </v>
      </c>
      <c r="I479" s="34"/>
      <c r="J479" s="34"/>
      <c r="K479" s="34" t="str">
        <f>IF(A479&lt;0,'CAR PROMAX FILIAL CRUZ'!O473," ")</f>
        <v xml:space="preserve"> </v>
      </c>
      <c r="L479" s="36" t="str">
        <f>IF(A479&lt;0,'CAR PROMAX FILIAL CRUZ'!P473," ")</f>
        <v xml:space="preserve"> </v>
      </c>
      <c r="M479" s="36" t="str">
        <f>IF(A479&lt;0,'CAR PROMAX FILIAL CRUZ'!Q473," ")</f>
        <v xml:space="preserve"> </v>
      </c>
      <c r="N479" s="36" t="str">
        <f>IF(A479&lt;0,'CAR PROMAX FILIAL CRUZ'!R473," ")</f>
        <v xml:space="preserve"> </v>
      </c>
      <c r="O479" s="37" t="str">
        <f>IF(A479&lt;0,'CAR PROMAX FILIAL CRUZ'!S473," ")</f>
        <v xml:space="preserve"> </v>
      </c>
      <c r="P479" s="37" t="str">
        <f>IF(A479&lt;0,'CAR PROMAX FILIAL CRUZ'!T473," ")</f>
        <v xml:space="preserve"> </v>
      </c>
      <c r="Q479" s="37" t="str">
        <f>IF(A479&lt;0,'CAR PROMAX FILIAL CRUZ'!U473," ")</f>
        <v xml:space="preserve"> </v>
      </c>
      <c r="R479" s="34" t="str">
        <f>IF(A479&lt;0,'CAR PROMAX FILIAL CRUZ'!V473," ")</f>
        <v xml:space="preserve"> </v>
      </c>
    </row>
    <row r="480" spans="1:18" x14ac:dyDescent="0.25">
      <c r="A480">
        <f>'CAR PROMAX FILIAL CRUZ'!O474</f>
        <v>0</v>
      </c>
      <c r="B480" s="33" t="str">
        <f t="shared" si="17"/>
        <v xml:space="preserve"> </v>
      </c>
      <c r="C480" s="33" t="str">
        <f t="shared" si="16"/>
        <v xml:space="preserve"> </v>
      </c>
      <c r="D480" s="34" t="str">
        <f>IF(A480&lt;0,'CAR PROMAX FILIAL CRUZ'!B474," ")</f>
        <v xml:space="preserve"> </v>
      </c>
      <c r="E480" s="35" t="str">
        <f>IF(A480&lt;0,'CAR PROMAX FILIAL CRUZ'!C474," ")</f>
        <v xml:space="preserve"> </v>
      </c>
      <c r="F480" s="34" t="str">
        <f>IF(A480&lt;0,'CAR PROMAX FILIAL CRUZ'!D474," ")</f>
        <v xml:space="preserve"> </v>
      </c>
      <c r="G480" s="34" t="str">
        <f>IF(A480&lt;0,'CAR PROMAX FILIAL CRUZ'!E474," ")</f>
        <v xml:space="preserve"> </v>
      </c>
      <c r="H480" s="34" t="str">
        <f>IF(A480&lt;0,'CAR PROMAX FILIAL CRUZ'!J474," ")</f>
        <v xml:space="preserve"> </v>
      </c>
      <c r="I480" s="34"/>
      <c r="J480" s="34"/>
      <c r="K480" s="34" t="str">
        <f>IF(A480&lt;0,'CAR PROMAX FILIAL CRUZ'!O474," ")</f>
        <v xml:space="preserve"> </v>
      </c>
      <c r="L480" s="36" t="str">
        <f>IF(A480&lt;0,'CAR PROMAX FILIAL CRUZ'!P474," ")</f>
        <v xml:space="preserve"> </v>
      </c>
      <c r="M480" s="36" t="str">
        <f>IF(A480&lt;0,'CAR PROMAX FILIAL CRUZ'!Q474," ")</f>
        <v xml:space="preserve"> </v>
      </c>
      <c r="N480" s="36" t="str">
        <f>IF(A480&lt;0,'CAR PROMAX FILIAL CRUZ'!R474," ")</f>
        <v xml:space="preserve"> </v>
      </c>
      <c r="O480" s="37" t="str">
        <f>IF(A480&lt;0,'CAR PROMAX FILIAL CRUZ'!S474," ")</f>
        <v xml:space="preserve"> </v>
      </c>
      <c r="P480" s="37" t="str">
        <f>IF(A480&lt;0,'CAR PROMAX FILIAL CRUZ'!T474," ")</f>
        <v xml:space="preserve"> </v>
      </c>
      <c r="Q480" s="37" t="str">
        <f>IF(A480&lt;0,'CAR PROMAX FILIAL CRUZ'!U474," ")</f>
        <v xml:space="preserve"> </v>
      </c>
      <c r="R480" s="34" t="str">
        <f>IF(A480&lt;0,'CAR PROMAX FILIAL CRUZ'!V474," ")</f>
        <v xml:space="preserve"> </v>
      </c>
    </row>
    <row r="481" spans="1:18" x14ac:dyDescent="0.25">
      <c r="A481">
        <f>'CAR PROMAX FILIAL CRUZ'!O475</f>
        <v>0</v>
      </c>
      <c r="B481" s="33" t="str">
        <f t="shared" si="17"/>
        <v xml:space="preserve"> </v>
      </c>
      <c r="C481" s="33" t="str">
        <f t="shared" si="16"/>
        <v xml:space="preserve"> </v>
      </c>
      <c r="D481" s="34" t="str">
        <f>IF(A481&lt;0,'CAR PROMAX FILIAL CRUZ'!B475," ")</f>
        <v xml:space="preserve"> </v>
      </c>
      <c r="E481" s="35" t="str">
        <f>IF(A481&lt;0,'CAR PROMAX FILIAL CRUZ'!C475," ")</f>
        <v xml:space="preserve"> </v>
      </c>
      <c r="F481" s="34" t="str">
        <f>IF(A481&lt;0,'CAR PROMAX FILIAL CRUZ'!D475," ")</f>
        <v xml:space="preserve"> </v>
      </c>
      <c r="G481" s="34" t="str">
        <f>IF(A481&lt;0,'CAR PROMAX FILIAL CRUZ'!E475," ")</f>
        <v xml:space="preserve"> </v>
      </c>
      <c r="H481" s="34" t="str">
        <f>IF(A481&lt;0,'CAR PROMAX FILIAL CRUZ'!J475," ")</f>
        <v xml:space="preserve"> </v>
      </c>
      <c r="I481" s="34"/>
      <c r="J481" s="34"/>
      <c r="K481" s="34" t="str">
        <f>IF(A481&lt;0,'CAR PROMAX FILIAL CRUZ'!O475," ")</f>
        <v xml:space="preserve"> </v>
      </c>
      <c r="L481" s="36" t="str">
        <f>IF(A481&lt;0,'CAR PROMAX FILIAL CRUZ'!P475," ")</f>
        <v xml:space="preserve"> </v>
      </c>
      <c r="M481" s="36" t="str">
        <f>IF(A481&lt;0,'CAR PROMAX FILIAL CRUZ'!Q475," ")</f>
        <v xml:space="preserve"> </v>
      </c>
      <c r="N481" s="36" t="str">
        <f>IF(A481&lt;0,'CAR PROMAX FILIAL CRUZ'!R475," ")</f>
        <v xml:space="preserve"> </v>
      </c>
      <c r="O481" s="37" t="str">
        <f>IF(A481&lt;0,'CAR PROMAX FILIAL CRUZ'!S475," ")</f>
        <v xml:space="preserve"> </v>
      </c>
      <c r="P481" s="37" t="str">
        <f>IF(A481&lt;0,'CAR PROMAX FILIAL CRUZ'!T475," ")</f>
        <v xml:space="preserve"> </v>
      </c>
      <c r="Q481" s="37" t="str">
        <f>IF(A481&lt;0,'CAR PROMAX FILIAL CRUZ'!U475," ")</f>
        <v xml:space="preserve"> </v>
      </c>
      <c r="R481" s="34" t="str">
        <f>IF(A481&lt;0,'CAR PROMAX FILIAL CRUZ'!V475," ")</f>
        <v xml:space="preserve"> </v>
      </c>
    </row>
    <row r="482" spans="1:18" x14ac:dyDescent="0.25">
      <c r="A482">
        <f>'CAR PROMAX FILIAL CRUZ'!O476</f>
        <v>0</v>
      </c>
      <c r="B482" s="33" t="str">
        <f t="shared" si="17"/>
        <v xml:space="preserve"> </v>
      </c>
      <c r="C482" s="33" t="str">
        <f t="shared" si="16"/>
        <v xml:space="preserve"> </v>
      </c>
      <c r="D482" s="34" t="str">
        <f>IF(A482&lt;0,'CAR PROMAX FILIAL CRUZ'!B476," ")</f>
        <v xml:space="preserve"> </v>
      </c>
      <c r="E482" s="35" t="str">
        <f>IF(A482&lt;0,'CAR PROMAX FILIAL CRUZ'!C476," ")</f>
        <v xml:space="preserve"> </v>
      </c>
      <c r="F482" s="34" t="str">
        <f>IF(A482&lt;0,'CAR PROMAX FILIAL CRUZ'!D476," ")</f>
        <v xml:space="preserve"> </v>
      </c>
      <c r="G482" s="34" t="str">
        <f>IF(A482&lt;0,'CAR PROMAX FILIAL CRUZ'!E476," ")</f>
        <v xml:space="preserve"> </v>
      </c>
      <c r="H482" s="34" t="str">
        <f>IF(A482&lt;0,'CAR PROMAX FILIAL CRUZ'!J476," ")</f>
        <v xml:space="preserve"> </v>
      </c>
      <c r="I482" s="34"/>
      <c r="J482" s="34"/>
      <c r="K482" s="34" t="str">
        <f>IF(A482&lt;0,'CAR PROMAX FILIAL CRUZ'!O476," ")</f>
        <v xml:space="preserve"> </v>
      </c>
      <c r="L482" s="36" t="str">
        <f>IF(A482&lt;0,'CAR PROMAX FILIAL CRUZ'!P476," ")</f>
        <v xml:space="preserve"> </v>
      </c>
      <c r="M482" s="36" t="str">
        <f>IF(A482&lt;0,'CAR PROMAX FILIAL CRUZ'!Q476," ")</f>
        <v xml:space="preserve"> </v>
      </c>
      <c r="N482" s="36" t="str">
        <f>IF(A482&lt;0,'CAR PROMAX FILIAL CRUZ'!R476," ")</f>
        <v xml:space="preserve"> </v>
      </c>
      <c r="O482" s="37" t="str">
        <f>IF(A482&lt;0,'CAR PROMAX FILIAL CRUZ'!S476," ")</f>
        <v xml:space="preserve"> </v>
      </c>
      <c r="P482" s="37" t="str">
        <f>IF(A482&lt;0,'CAR PROMAX FILIAL CRUZ'!T476," ")</f>
        <v xml:space="preserve"> </v>
      </c>
      <c r="Q482" s="37" t="str">
        <f>IF(A482&lt;0,'CAR PROMAX FILIAL CRUZ'!U476," ")</f>
        <v xml:space="preserve"> </v>
      </c>
      <c r="R482" s="34" t="str">
        <f>IF(A482&lt;0,'CAR PROMAX FILIAL CRUZ'!V476," ")</f>
        <v xml:space="preserve"> </v>
      </c>
    </row>
    <row r="483" spans="1:18" x14ac:dyDescent="0.25">
      <c r="A483">
        <f>'CAR PROMAX FILIAL CRUZ'!O477</f>
        <v>0</v>
      </c>
      <c r="B483" s="33" t="str">
        <f t="shared" si="17"/>
        <v xml:space="preserve"> </v>
      </c>
      <c r="C483" s="33" t="str">
        <f t="shared" si="16"/>
        <v xml:space="preserve"> </v>
      </c>
      <c r="D483" s="34" t="str">
        <f>IF(A483&lt;0,'CAR PROMAX FILIAL CRUZ'!B477," ")</f>
        <v xml:space="preserve"> </v>
      </c>
      <c r="E483" s="35" t="str">
        <f>IF(A483&lt;0,'CAR PROMAX FILIAL CRUZ'!C477," ")</f>
        <v xml:space="preserve"> </v>
      </c>
      <c r="F483" s="34" t="str">
        <f>IF(A483&lt;0,'CAR PROMAX FILIAL CRUZ'!D477," ")</f>
        <v xml:space="preserve"> </v>
      </c>
      <c r="G483" s="34" t="str">
        <f>IF(A483&lt;0,'CAR PROMAX FILIAL CRUZ'!E477," ")</f>
        <v xml:space="preserve"> </v>
      </c>
      <c r="H483" s="34" t="str">
        <f>IF(A483&lt;0,'CAR PROMAX FILIAL CRUZ'!J477," ")</f>
        <v xml:space="preserve"> </v>
      </c>
      <c r="I483" s="34"/>
      <c r="J483" s="34"/>
      <c r="K483" s="34" t="str">
        <f>IF(A483&lt;0,'CAR PROMAX FILIAL CRUZ'!O477," ")</f>
        <v xml:space="preserve"> </v>
      </c>
      <c r="L483" s="36" t="str">
        <f>IF(A483&lt;0,'CAR PROMAX FILIAL CRUZ'!P477," ")</f>
        <v xml:space="preserve"> </v>
      </c>
      <c r="M483" s="36" t="str">
        <f>IF(A483&lt;0,'CAR PROMAX FILIAL CRUZ'!Q477," ")</f>
        <v xml:space="preserve"> </v>
      </c>
      <c r="N483" s="36" t="str">
        <f>IF(A483&lt;0,'CAR PROMAX FILIAL CRUZ'!R477," ")</f>
        <v xml:space="preserve"> </v>
      </c>
      <c r="O483" s="37" t="str">
        <f>IF(A483&lt;0,'CAR PROMAX FILIAL CRUZ'!S477," ")</f>
        <v xml:space="preserve"> </v>
      </c>
      <c r="P483" s="37" t="str">
        <f>IF(A483&lt;0,'CAR PROMAX FILIAL CRUZ'!T477," ")</f>
        <v xml:space="preserve"> </v>
      </c>
      <c r="Q483" s="37" t="str">
        <f>IF(A483&lt;0,'CAR PROMAX FILIAL CRUZ'!U477," ")</f>
        <v xml:space="preserve"> </v>
      </c>
      <c r="R483" s="34" t="str">
        <f>IF(A483&lt;0,'CAR PROMAX FILIAL CRUZ'!V477," ")</f>
        <v xml:space="preserve"> </v>
      </c>
    </row>
    <row r="484" spans="1:18" x14ac:dyDescent="0.25">
      <c r="A484">
        <f>'CAR PROMAX FILIAL CRUZ'!O478</f>
        <v>0</v>
      </c>
      <c r="B484" s="33" t="str">
        <f t="shared" si="17"/>
        <v xml:space="preserve"> </v>
      </c>
      <c r="C484" s="33" t="str">
        <f t="shared" si="16"/>
        <v xml:space="preserve"> </v>
      </c>
      <c r="D484" s="34" t="str">
        <f>IF(A484&lt;0,'CAR PROMAX FILIAL CRUZ'!B478," ")</f>
        <v xml:space="preserve"> </v>
      </c>
      <c r="E484" s="35" t="str">
        <f>IF(A484&lt;0,'CAR PROMAX FILIAL CRUZ'!C478," ")</f>
        <v xml:space="preserve"> </v>
      </c>
      <c r="F484" s="34" t="str">
        <f>IF(A484&lt;0,'CAR PROMAX FILIAL CRUZ'!D478," ")</f>
        <v xml:space="preserve"> </v>
      </c>
      <c r="G484" s="34" t="str">
        <f>IF(A484&lt;0,'CAR PROMAX FILIAL CRUZ'!E478," ")</f>
        <v xml:space="preserve"> </v>
      </c>
      <c r="H484" s="34" t="str">
        <f>IF(A484&lt;0,'CAR PROMAX FILIAL CRUZ'!J478," ")</f>
        <v xml:space="preserve"> </v>
      </c>
      <c r="I484" s="34"/>
      <c r="J484" s="34"/>
      <c r="K484" s="34" t="str">
        <f>IF(A484&lt;0,'CAR PROMAX FILIAL CRUZ'!O478," ")</f>
        <v xml:space="preserve"> </v>
      </c>
      <c r="L484" s="36" t="str">
        <f>IF(A484&lt;0,'CAR PROMAX FILIAL CRUZ'!P478," ")</f>
        <v xml:space="preserve"> </v>
      </c>
      <c r="M484" s="36" t="str">
        <f>IF(A484&lt;0,'CAR PROMAX FILIAL CRUZ'!Q478," ")</f>
        <v xml:space="preserve"> </v>
      </c>
      <c r="N484" s="36" t="str">
        <f>IF(A484&lt;0,'CAR PROMAX FILIAL CRUZ'!R478," ")</f>
        <v xml:space="preserve"> </v>
      </c>
      <c r="O484" s="37" t="str">
        <f>IF(A484&lt;0,'CAR PROMAX FILIAL CRUZ'!S478," ")</f>
        <v xml:space="preserve"> </v>
      </c>
      <c r="P484" s="37" t="str">
        <f>IF(A484&lt;0,'CAR PROMAX FILIAL CRUZ'!T478," ")</f>
        <v xml:space="preserve"> </v>
      </c>
      <c r="Q484" s="37" t="str">
        <f>IF(A484&lt;0,'CAR PROMAX FILIAL CRUZ'!U478," ")</f>
        <v xml:space="preserve"> </v>
      </c>
      <c r="R484" s="34" t="str">
        <f>IF(A484&lt;0,'CAR PROMAX FILIAL CRUZ'!V478," ")</f>
        <v xml:space="preserve"> </v>
      </c>
    </row>
    <row r="485" spans="1:18" x14ac:dyDescent="0.25">
      <c r="A485">
        <f>'CAR PROMAX FILIAL CRUZ'!O479</f>
        <v>0</v>
      </c>
      <c r="B485" s="33" t="str">
        <f t="shared" si="17"/>
        <v xml:space="preserve"> </v>
      </c>
      <c r="C485" s="33" t="str">
        <f t="shared" si="16"/>
        <v xml:space="preserve"> </v>
      </c>
      <c r="D485" s="34" t="str">
        <f>IF(A485&lt;0,'CAR PROMAX FILIAL CRUZ'!B479," ")</f>
        <v xml:space="preserve"> </v>
      </c>
      <c r="E485" s="35" t="str">
        <f>IF(A485&lt;0,'CAR PROMAX FILIAL CRUZ'!C479," ")</f>
        <v xml:space="preserve"> </v>
      </c>
      <c r="F485" s="34" t="str">
        <f>IF(A485&lt;0,'CAR PROMAX FILIAL CRUZ'!D479," ")</f>
        <v xml:space="preserve"> </v>
      </c>
      <c r="G485" s="34" t="str">
        <f>IF(A485&lt;0,'CAR PROMAX FILIAL CRUZ'!E479," ")</f>
        <v xml:space="preserve"> </v>
      </c>
      <c r="H485" s="34" t="str">
        <f>IF(A485&lt;0,'CAR PROMAX FILIAL CRUZ'!J479," ")</f>
        <v xml:space="preserve"> </v>
      </c>
      <c r="I485" s="34"/>
      <c r="J485" s="34"/>
      <c r="K485" s="34" t="str">
        <f>IF(A485&lt;0,'CAR PROMAX FILIAL CRUZ'!O479," ")</f>
        <v xml:space="preserve"> </v>
      </c>
      <c r="L485" s="36" t="str">
        <f>IF(A485&lt;0,'CAR PROMAX FILIAL CRUZ'!P479," ")</f>
        <v xml:space="preserve"> </v>
      </c>
      <c r="M485" s="36" t="str">
        <f>IF(A485&lt;0,'CAR PROMAX FILIAL CRUZ'!Q479," ")</f>
        <v xml:space="preserve"> </v>
      </c>
      <c r="N485" s="36" t="str">
        <f>IF(A485&lt;0,'CAR PROMAX FILIAL CRUZ'!R479," ")</f>
        <v xml:space="preserve"> </v>
      </c>
      <c r="O485" s="37" t="str">
        <f>IF(A485&lt;0,'CAR PROMAX FILIAL CRUZ'!S479," ")</f>
        <v xml:space="preserve"> </v>
      </c>
      <c r="P485" s="37" t="str">
        <f>IF(A485&lt;0,'CAR PROMAX FILIAL CRUZ'!T479," ")</f>
        <v xml:space="preserve"> </v>
      </c>
      <c r="Q485" s="37" t="str">
        <f>IF(A485&lt;0,'CAR PROMAX FILIAL CRUZ'!U479," ")</f>
        <v xml:space="preserve"> </v>
      </c>
      <c r="R485" s="34" t="str">
        <f>IF(A485&lt;0,'CAR PROMAX FILIAL CRUZ'!V479," ")</f>
        <v xml:space="preserve"> </v>
      </c>
    </row>
    <row r="486" spans="1:18" x14ac:dyDescent="0.25">
      <c r="A486">
        <f>'CAR PROMAX FILIAL CRUZ'!O480</f>
        <v>0</v>
      </c>
      <c r="B486" s="33" t="str">
        <f t="shared" si="17"/>
        <v xml:space="preserve"> </v>
      </c>
      <c r="C486" s="33" t="str">
        <f t="shared" si="16"/>
        <v xml:space="preserve"> </v>
      </c>
      <c r="D486" s="34" t="str">
        <f>IF(A486&lt;0,'CAR PROMAX FILIAL CRUZ'!B480," ")</f>
        <v xml:space="preserve"> </v>
      </c>
      <c r="E486" s="35" t="str">
        <f>IF(A486&lt;0,'CAR PROMAX FILIAL CRUZ'!C480," ")</f>
        <v xml:space="preserve"> </v>
      </c>
      <c r="F486" s="34" t="str">
        <f>IF(A486&lt;0,'CAR PROMAX FILIAL CRUZ'!D480," ")</f>
        <v xml:space="preserve"> </v>
      </c>
      <c r="G486" s="34" t="str">
        <f>IF(A486&lt;0,'CAR PROMAX FILIAL CRUZ'!E480," ")</f>
        <v xml:space="preserve"> </v>
      </c>
      <c r="H486" s="34" t="str">
        <f>IF(A486&lt;0,'CAR PROMAX FILIAL CRUZ'!J480," ")</f>
        <v xml:space="preserve"> </v>
      </c>
      <c r="I486" s="34"/>
      <c r="J486" s="34"/>
      <c r="K486" s="34" t="str">
        <f>IF(A486&lt;0,'CAR PROMAX FILIAL CRUZ'!O480," ")</f>
        <v xml:space="preserve"> </v>
      </c>
      <c r="L486" s="36" t="str">
        <f>IF(A486&lt;0,'CAR PROMAX FILIAL CRUZ'!P480," ")</f>
        <v xml:space="preserve"> </v>
      </c>
      <c r="M486" s="36" t="str">
        <f>IF(A486&lt;0,'CAR PROMAX FILIAL CRUZ'!Q480," ")</f>
        <v xml:space="preserve"> </v>
      </c>
      <c r="N486" s="36" t="str">
        <f>IF(A486&lt;0,'CAR PROMAX FILIAL CRUZ'!R480," ")</f>
        <v xml:space="preserve"> </v>
      </c>
      <c r="O486" s="37" t="str">
        <f>IF(A486&lt;0,'CAR PROMAX FILIAL CRUZ'!S480," ")</f>
        <v xml:space="preserve"> </v>
      </c>
      <c r="P486" s="37" t="str">
        <f>IF(A486&lt;0,'CAR PROMAX FILIAL CRUZ'!T480," ")</f>
        <v xml:space="preserve"> </v>
      </c>
      <c r="Q486" s="37" t="str">
        <f>IF(A486&lt;0,'CAR PROMAX FILIAL CRUZ'!U480," ")</f>
        <v xml:space="preserve"> </v>
      </c>
      <c r="R486" s="34" t="str">
        <f>IF(A486&lt;0,'CAR PROMAX FILIAL CRUZ'!V480," ")</f>
        <v xml:space="preserve"> </v>
      </c>
    </row>
    <row r="487" spans="1:18" x14ac:dyDescent="0.25">
      <c r="A487">
        <f>'CAR PROMAX FILIAL CRUZ'!O481</f>
        <v>0</v>
      </c>
      <c r="B487" s="33" t="str">
        <f t="shared" si="17"/>
        <v xml:space="preserve"> </v>
      </c>
      <c r="C487" s="33" t="str">
        <f t="shared" si="16"/>
        <v xml:space="preserve"> </v>
      </c>
      <c r="D487" s="34" t="str">
        <f>IF(A487&lt;0,'CAR PROMAX FILIAL CRUZ'!B481," ")</f>
        <v xml:space="preserve"> </v>
      </c>
      <c r="E487" s="35" t="str">
        <f>IF(A487&lt;0,'CAR PROMAX FILIAL CRUZ'!C481," ")</f>
        <v xml:space="preserve"> </v>
      </c>
      <c r="F487" s="34" t="str">
        <f>IF(A487&lt;0,'CAR PROMAX FILIAL CRUZ'!D481," ")</f>
        <v xml:space="preserve"> </v>
      </c>
      <c r="G487" s="34" t="str">
        <f>IF(A487&lt;0,'CAR PROMAX FILIAL CRUZ'!E481," ")</f>
        <v xml:space="preserve"> </v>
      </c>
      <c r="H487" s="34" t="str">
        <f>IF(A487&lt;0,'CAR PROMAX FILIAL CRUZ'!J481," ")</f>
        <v xml:space="preserve"> </v>
      </c>
      <c r="I487" s="34"/>
      <c r="J487" s="34"/>
      <c r="K487" s="34" t="str">
        <f>IF(A487&lt;0,'CAR PROMAX FILIAL CRUZ'!O481," ")</f>
        <v xml:space="preserve"> </v>
      </c>
      <c r="L487" s="36" t="str">
        <f>IF(A487&lt;0,'CAR PROMAX FILIAL CRUZ'!P481," ")</f>
        <v xml:space="preserve"> </v>
      </c>
      <c r="M487" s="36" t="str">
        <f>IF(A487&lt;0,'CAR PROMAX FILIAL CRUZ'!Q481," ")</f>
        <v xml:space="preserve"> </v>
      </c>
      <c r="N487" s="36" t="str">
        <f>IF(A487&lt;0,'CAR PROMAX FILIAL CRUZ'!R481," ")</f>
        <v xml:space="preserve"> </v>
      </c>
      <c r="O487" s="37" t="str">
        <f>IF(A487&lt;0,'CAR PROMAX FILIAL CRUZ'!S481," ")</f>
        <v xml:space="preserve"> </v>
      </c>
      <c r="P487" s="37" t="str">
        <f>IF(A487&lt;0,'CAR PROMAX FILIAL CRUZ'!T481," ")</f>
        <v xml:space="preserve"> </v>
      </c>
      <c r="Q487" s="37" t="str">
        <f>IF(A487&lt;0,'CAR PROMAX FILIAL CRUZ'!U481," ")</f>
        <v xml:space="preserve"> </v>
      </c>
      <c r="R487" s="34" t="str">
        <f>IF(A487&lt;0,'CAR PROMAX FILIAL CRUZ'!V481," ")</f>
        <v xml:space="preserve"> </v>
      </c>
    </row>
    <row r="488" spans="1:18" x14ac:dyDescent="0.25">
      <c r="A488">
        <f>'CAR PROMAX FILIAL CRUZ'!O482</f>
        <v>0</v>
      </c>
      <c r="B488" s="33" t="str">
        <f t="shared" si="17"/>
        <v xml:space="preserve"> </v>
      </c>
      <c r="C488" s="33" t="str">
        <f t="shared" si="16"/>
        <v xml:space="preserve"> </v>
      </c>
      <c r="D488" s="34" t="str">
        <f>IF(A488&lt;0,'CAR PROMAX FILIAL CRUZ'!B482," ")</f>
        <v xml:space="preserve"> </v>
      </c>
      <c r="E488" s="35" t="str">
        <f>IF(A488&lt;0,'CAR PROMAX FILIAL CRUZ'!C482," ")</f>
        <v xml:space="preserve"> </v>
      </c>
      <c r="F488" s="34" t="str">
        <f>IF(A488&lt;0,'CAR PROMAX FILIAL CRUZ'!D482," ")</f>
        <v xml:space="preserve"> </v>
      </c>
      <c r="G488" s="34" t="str">
        <f>IF(A488&lt;0,'CAR PROMAX FILIAL CRUZ'!E482," ")</f>
        <v xml:space="preserve"> </v>
      </c>
      <c r="H488" s="34" t="str">
        <f>IF(A488&lt;0,'CAR PROMAX FILIAL CRUZ'!J482," ")</f>
        <v xml:space="preserve"> </v>
      </c>
      <c r="I488" s="34"/>
      <c r="J488" s="34"/>
      <c r="K488" s="34" t="str">
        <f>IF(A488&lt;0,'CAR PROMAX FILIAL CRUZ'!O482," ")</f>
        <v xml:space="preserve"> </v>
      </c>
      <c r="L488" s="36" t="str">
        <f>IF(A488&lt;0,'CAR PROMAX FILIAL CRUZ'!P482," ")</f>
        <v xml:space="preserve"> </v>
      </c>
      <c r="M488" s="36" t="str">
        <f>IF(A488&lt;0,'CAR PROMAX FILIAL CRUZ'!Q482," ")</f>
        <v xml:space="preserve"> </v>
      </c>
      <c r="N488" s="36" t="str">
        <f>IF(A488&lt;0,'CAR PROMAX FILIAL CRUZ'!R482," ")</f>
        <v xml:space="preserve"> </v>
      </c>
      <c r="O488" s="37" t="str">
        <f>IF(A488&lt;0,'CAR PROMAX FILIAL CRUZ'!S482," ")</f>
        <v xml:space="preserve"> </v>
      </c>
      <c r="P488" s="37" t="str">
        <f>IF(A488&lt;0,'CAR PROMAX FILIAL CRUZ'!T482," ")</f>
        <v xml:space="preserve"> </v>
      </c>
      <c r="Q488" s="37" t="str">
        <f>IF(A488&lt;0,'CAR PROMAX FILIAL CRUZ'!U482," ")</f>
        <v xml:space="preserve"> </v>
      </c>
      <c r="R488" s="34" t="str">
        <f>IF(A488&lt;0,'CAR PROMAX FILIAL CRUZ'!V482," ")</f>
        <v xml:space="preserve"> </v>
      </c>
    </row>
    <row r="489" spans="1:18" x14ac:dyDescent="0.25">
      <c r="A489">
        <f>'CAR PROMAX FILIAL CRUZ'!O483</f>
        <v>0</v>
      </c>
      <c r="B489" s="33" t="str">
        <f t="shared" si="17"/>
        <v xml:space="preserve"> </v>
      </c>
      <c r="C489" s="33" t="str">
        <f t="shared" si="16"/>
        <v xml:space="preserve"> </v>
      </c>
      <c r="D489" s="34" t="str">
        <f>IF(A489&lt;0,'CAR PROMAX FILIAL CRUZ'!B483," ")</f>
        <v xml:space="preserve"> </v>
      </c>
      <c r="E489" s="35" t="str">
        <f>IF(A489&lt;0,'CAR PROMAX FILIAL CRUZ'!C483," ")</f>
        <v xml:space="preserve"> </v>
      </c>
      <c r="F489" s="34" t="str">
        <f>IF(A489&lt;0,'CAR PROMAX FILIAL CRUZ'!D483," ")</f>
        <v xml:space="preserve"> </v>
      </c>
      <c r="G489" s="34" t="str">
        <f>IF(A489&lt;0,'CAR PROMAX FILIAL CRUZ'!E483," ")</f>
        <v xml:space="preserve"> </v>
      </c>
      <c r="H489" s="34" t="str">
        <f>IF(A489&lt;0,'CAR PROMAX FILIAL CRUZ'!J483," ")</f>
        <v xml:space="preserve"> </v>
      </c>
      <c r="I489" s="34"/>
      <c r="J489" s="34"/>
      <c r="K489" s="34" t="str">
        <f>IF(A489&lt;0,'CAR PROMAX FILIAL CRUZ'!O483," ")</f>
        <v xml:space="preserve"> </v>
      </c>
      <c r="L489" s="36" t="str">
        <f>IF(A489&lt;0,'CAR PROMAX FILIAL CRUZ'!P483," ")</f>
        <v xml:space="preserve"> </v>
      </c>
      <c r="M489" s="36" t="str">
        <f>IF(A489&lt;0,'CAR PROMAX FILIAL CRUZ'!Q483," ")</f>
        <v xml:space="preserve"> </v>
      </c>
      <c r="N489" s="36" t="str">
        <f>IF(A489&lt;0,'CAR PROMAX FILIAL CRUZ'!R483," ")</f>
        <v xml:space="preserve"> </v>
      </c>
      <c r="O489" s="37" t="str">
        <f>IF(A489&lt;0,'CAR PROMAX FILIAL CRUZ'!S483," ")</f>
        <v xml:space="preserve"> </v>
      </c>
      <c r="P489" s="37" t="str">
        <f>IF(A489&lt;0,'CAR PROMAX FILIAL CRUZ'!T483," ")</f>
        <v xml:space="preserve"> </v>
      </c>
      <c r="Q489" s="37" t="str">
        <f>IF(A489&lt;0,'CAR PROMAX FILIAL CRUZ'!U483," ")</f>
        <v xml:space="preserve"> </v>
      </c>
      <c r="R489" s="34" t="str">
        <f>IF(A489&lt;0,'CAR PROMAX FILIAL CRUZ'!V483," ")</f>
        <v xml:space="preserve"> </v>
      </c>
    </row>
    <row r="490" spans="1:18" x14ac:dyDescent="0.25">
      <c r="A490">
        <f>'CAR PROMAX FILIAL CRUZ'!O484</f>
        <v>0</v>
      </c>
      <c r="B490" s="33" t="str">
        <f t="shared" si="17"/>
        <v xml:space="preserve"> </v>
      </c>
      <c r="C490" s="33" t="str">
        <f t="shared" si="16"/>
        <v xml:space="preserve"> </v>
      </c>
      <c r="D490" s="34" t="str">
        <f>IF(A490&lt;0,'CAR PROMAX FILIAL CRUZ'!B484," ")</f>
        <v xml:space="preserve"> </v>
      </c>
      <c r="E490" s="35" t="str">
        <f>IF(A490&lt;0,'CAR PROMAX FILIAL CRUZ'!C484," ")</f>
        <v xml:space="preserve"> </v>
      </c>
      <c r="F490" s="34" t="str">
        <f>IF(A490&lt;0,'CAR PROMAX FILIAL CRUZ'!D484," ")</f>
        <v xml:space="preserve"> </v>
      </c>
      <c r="G490" s="34" t="str">
        <f>IF(A490&lt;0,'CAR PROMAX FILIAL CRUZ'!E484," ")</f>
        <v xml:space="preserve"> </v>
      </c>
      <c r="H490" s="34" t="str">
        <f>IF(A490&lt;0,'CAR PROMAX FILIAL CRUZ'!J484," ")</f>
        <v xml:space="preserve"> </v>
      </c>
      <c r="I490" s="34"/>
      <c r="J490" s="34"/>
      <c r="K490" s="34" t="str">
        <f>IF(A490&lt;0,'CAR PROMAX FILIAL CRUZ'!O484," ")</f>
        <v xml:space="preserve"> </v>
      </c>
      <c r="L490" s="36" t="str">
        <f>IF(A490&lt;0,'CAR PROMAX FILIAL CRUZ'!P484," ")</f>
        <v xml:space="preserve"> </v>
      </c>
      <c r="M490" s="36" t="str">
        <f>IF(A490&lt;0,'CAR PROMAX FILIAL CRUZ'!Q484," ")</f>
        <v xml:space="preserve"> </v>
      </c>
      <c r="N490" s="36" t="str">
        <f>IF(A490&lt;0,'CAR PROMAX FILIAL CRUZ'!R484," ")</f>
        <v xml:space="preserve"> </v>
      </c>
      <c r="O490" s="37" t="str">
        <f>IF(A490&lt;0,'CAR PROMAX FILIAL CRUZ'!S484," ")</f>
        <v xml:space="preserve"> </v>
      </c>
      <c r="P490" s="37" t="str">
        <f>IF(A490&lt;0,'CAR PROMAX FILIAL CRUZ'!T484," ")</f>
        <v xml:space="preserve"> </v>
      </c>
      <c r="Q490" s="37" t="str">
        <f>IF(A490&lt;0,'CAR PROMAX FILIAL CRUZ'!U484," ")</f>
        <v xml:space="preserve"> </v>
      </c>
      <c r="R490" s="34" t="str">
        <f>IF(A490&lt;0,'CAR PROMAX FILIAL CRUZ'!V484," ")</f>
        <v xml:space="preserve"> </v>
      </c>
    </row>
    <row r="491" spans="1:18" x14ac:dyDescent="0.25">
      <c r="A491">
        <f>'CAR PROMAX FILIAL CRUZ'!O485</f>
        <v>0</v>
      </c>
      <c r="B491" s="33" t="str">
        <f t="shared" si="17"/>
        <v xml:space="preserve"> </v>
      </c>
      <c r="C491" s="33" t="str">
        <f t="shared" si="16"/>
        <v xml:space="preserve"> </v>
      </c>
      <c r="D491" s="34" t="str">
        <f>IF(A491&lt;0,'CAR PROMAX FILIAL CRUZ'!B485," ")</f>
        <v xml:space="preserve"> </v>
      </c>
      <c r="E491" s="35" t="str">
        <f>IF(A491&lt;0,'CAR PROMAX FILIAL CRUZ'!C485," ")</f>
        <v xml:space="preserve"> </v>
      </c>
      <c r="F491" s="34" t="str">
        <f>IF(A491&lt;0,'CAR PROMAX FILIAL CRUZ'!D485," ")</f>
        <v xml:space="preserve"> </v>
      </c>
      <c r="G491" s="34" t="str">
        <f>IF(A491&lt;0,'CAR PROMAX FILIAL CRUZ'!E485," ")</f>
        <v xml:space="preserve"> </v>
      </c>
      <c r="H491" s="34" t="str">
        <f>IF(A491&lt;0,'CAR PROMAX FILIAL CRUZ'!J485," ")</f>
        <v xml:space="preserve"> </v>
      </c>
      <c r="I491" s="34"/>
      <c r="J491" s="34"/>
      <c r="K491" s="34" t="str">
        <f>IF(A491&lt;0,'CAR PROMAX FILIAL CRUZ'!O485," ")</f>
        <v xml:space="preserve"> </v>
      </c>
      <c r="L491" s="36" t="str">
        <f>IF(A491&lt;0,'CAR PROMAX FILIAL CRUZ'!P485," ")</f>
        <v xml:space="preserve"> </v>
      </c>
      <c r="M491" s="36" t="str">
        <f>IF(A491&lt;0,'CAR PROMAX FILIAL CRUZ'!Q485," ")</f>
        <v xml:space="preserve"> </v>
      </c>
      <c r="N491" s="36" t="str">
        <f>IF(A491&lt;0,'CAR PROMAX FILIAL CRUZ'!R485," ")</f>
        <v xml:space="preserve"> </v>
      </c>
      <c r="O491" s="37" t="str">
        <f>IF(A491&lt;0,'CAR PROMAX FILIAL CRUZ'!S485," ")</f>
        <v xml:space="preserve"> </v>
      </c>
      <c r="P491" s="37" t="str">
        <f>IF(A491&lt;0,'CAR PROMAX FILIAL CRUZ'!T485," ")</f>
        <v xml:space="preserve"> </v>
      </c>
      <c r="Q491" s="37" t="str">
        <f>IF(A491&lt;0,'CAR PROMAX FILIAL CRUZ'!U485," ")</f>
        <v xml:space="preserve"> </v>
      </c>
      <c r="R491" s="34" t="str">
        <f>IF(A491&lt;0,'CAR PROMAX FILIAL CRUZ'!V485," ")</f>
        <v xml:space="preserve"> </v>
      </c>
    </row>
    <row r="492" spans="1:18" x14ac:dyDescent="0.25">
      <c r="A492">
        <f>'CAR PROMAX FILIAL CRUZ'!O486</f>
        <v>0</v>
      </c>
      <c r="B492" s="33" t="str">
        <f t="shared" si="17"/>
        <v xml:space="preserve"> </v>
      </c>
      <c r="C492" s="33" t="str">
        <f t="shared" si="16"/>
        <v xml:space="preserve"> </v>
      </c>
      <c r="D492" s="34" t="str">
        <f>IF(A492&lt;0,'CAR PROMAX FILIAL CRUZ'!B486," ")</f>
        <v xml:space="preserve"> </v>
      </c>
      <c r="E492" s="35" t="str">
        <f>IF(A492&lt;0,'CAR PROMAX FILIAL CRUZ'!C486," ")</f>
        <v xml:space="preserve"> </v>
      </c>
      <c r="F492" s="34" t="str">
        <f>IF(A492&lt;0,'CAR PROMAX FILIAL CRUZ'!D486," ")</f>
        <v xml:space="preserve"> </v>
      </c>
      <c r="G492" s="34" t="str">
        <f>IF(A492&lt;0,'CAR PROMAX FILIAL CRUZ'!E486," ")</f>
        <v xml:space="preserve"> </v>
      </c>
      <c r="H492" s="34" t="str">
        <f>IF(A492&lt;0,'CAR PROMAX FILIAL CRUZ'!J486," ")</f>
        <v xml:space="preserve"> </v>
      </c>
      <c r="I492" s="34"/>
      <c r="J492" s="34"/>
      <c r="K492" s="34" t="str">
        <f>IF(A492&lt;0,'CAR PROMAX FILIAL CRUZ'!O486," ")</f>
        <v xml:space="preserve"> </v>
      </c>
      <c r="L492" s="36" t="str">
        <f>IF(A492&lt;0,'CAR PROMAX FILIAL CRUZ'!P486," ")</f>
        <v xml:space="preserve"> </v>
      </c>
      <c r="M492" s="36" t="str">
        <f>IF(A492&lt;0,'CAR PROMAX FILIAL CRUZ'!Q486," ")</f>
        <v xml:space="preserve"> </v>
      </c>
      <c r="N492" s="36" t="str">
        <f>IF(A492&lt;0,'CAR PROMAX FILIAL CRUZ'!R486," ")</f>
        <v xml:space="preserve"> </v>
      </c>
      <c r="O492" s="37" t="str">
        <f>IF(A492&lt;0,'CAR PROMAX FILIAL CRUZ'!S486," ")</f>
        <v xml:space="preserve"> </v>
      </c>
      <c r="P492" s="37" t="str">
        <f>IF(A492&lt;0,'CAR PROMAX FILIAL CRUZ'!T486," ")</f>
        <v xml:space="preserve"> </v>
      </c>
      <c r="Q492" s="37" t="str">
        <f>IF(A492&lt;0,'CAR PROMAX FILIAL CRUZ'!U486," ")</f>
        <v xml:space="preserve"> </v>
      </c>
      <c r="R492" s="34" t="str">
        <f>IF(A492&lt;0,'CAR PROMAX FILIAL CRUZ'!V486," ")</f>
        <v xml:space="preserve"> </v>
      </c>
    </row>
    <row r="493" spans="1:18" x14ac:dyDescent="0.25">
      <c r="A493">
        <f>'CAR PROMAX FILIAL CRUZ'!O487</f>
        <v>0</v>
      </c>
      <c r="B493" s="33" t="str">
        <f t="shared" si="17"/>
        <v xml:space="preserve"> </v>
      </c>
      <c r="C493" s="33" t="str">
        <f t="shared" si="16"/>
        <v xml:space="preserve"> </v>
      </c>
      <c r="D493" s="34" t="str">
        <f>IF(A493&lt;0,'CAR PROMAX FILIAL CRUZ'!B487," ")</f>
        <v xml:space="preserve"> </v>
      </c>
      <c r="E493" s="35" t="str">
        <f>IF(A493&lt;0,'CAR PROMAX FILIAL CRUZ'!C487," ")</f>
        <v xml:space="preserve"> </v>
      </c>
      <c r="F493" s="34" t="str">
        <f>IF(A493&lt;0,'CAR PROMAX FILIAL CRUZ'!D487," ")</f>
        <v xml:space="preserve"> </v>
      </c>
      <c r="G493" s="34" t="str">
        <f>IF(A493&lt;0,'CAR PROMAX FILIAL CRUZ'!E487," ")</f>
        <v xml:space="preserve"> </v>
      </c>
      <c r="H493" s="34" t="str">
        <f>IF(A493&lt;0,'CAR PROMAX FILIAL CRUZ'!J487," ")</f>
        <v xml:space="preserve"> </v>
      </c>
      <c r="I493" s="34"/>
      <c r="J493" s="34"/>
      <c r="K493" s="34" t="str">
        <f>IF(A493&lt;0,'CAR PROMAX FILIAL CRUZ'!O487," ")</f>
        <v xml:space="preserve"> </v>
      </c>
      <c r="L493" s="36" t="str">
        <f>IF(A493&lt;0,'CAR PROMAX FILIAL CRUZ'!P487," ")</f>
        <v xml:space="preserve"> </v>
      </c>
      <c r="M493" s="36" t="str">
        <f>IF(A493&lt;0,'CAR PROMAX FILIAL CRUZ'!Q487," ")</f>
        <v xml:space="preserve"> </v>
      </c>
      <c r="N493" s="36" t="str">
        <f>IF(A493&lt;0,'CAR PROMAX FILIAL CRUZ'!R487," ")</f>
        <v xml:space="preserve"> </v>
      </c>
      <c r="O493" s="37" t="str">
        <f>IF(A493&lt;0,'CAR PROMAX FILIAL CRUZ'!S487," ")</f>
        <v xml:space="preserve"> </v>
      </c>
      <c r="P493" s="37" t="str">
        <f>IF(A493&lt;0,'CAR PROMAX FILIAL CRUZ'!T487," ")</f>
        <v xml:space="preserve"> </v>
      </c>
      <c r="Q493" s="37" t="str">
        <f>IF(A493&lt;0,'CAR PROMAX FILIAL CRUZ'!U487," ")</f>
        <v xml:space="preserve"> </v>
      </c>
      <c r="R493" s="34" t="str">
        <f>IF(A493&lt;0,'CAR PROMAX FILIAL CRUZ'!V487," ")</f>
        <v xml:space="preserve"> </v>
      </c>
    </row>
    <row r="494" spans="1:18" x14ac:dyDescent="0.25">
      <c r="A494">
        <f>'CAR PROMAX FILIAL CRUZ'!O488</f>
        <v>0</v>
      </c>
      <c r="B494" s="33" t="str">
        <f t="shared" si="17"/>
        <v xml:space="preserve"> </v>
      </c>
      <c r="C494" s="33" t="str">
        <f t="shared" si="16"/>
        <v xml:space="preserve"> </v>
      </c>
      <c r="D494" s="34" t="str">
        <f>IF(A494&lt;0,'CAR PROMAX FILIAL CRUZ'!B488," ")</f>
        <v xml:space="preserve"> </v>
      </c>
      <c r="E494" s="35" t="str">
        <f>IF(A494&lt;0,'CAR PROMAX FILIAL CRUZ'!C488," ")</f>
        <v xml:space="preserve"> </v>
      </c>
      <c r="F494" s="34" t="str">
        <f>IF(A494&lt;0,'CAR PROMAX FILIAL CRUZ'!D488," ")</f>
        <v xml:space="preserve"> </v>
      </c>
      <c r="G494" s="34" t="str">
        <f>IF(A494&lt;0,'CAR PROMAX FILIAL CRUZ'!E488," ")</f>
        <v xml:space="preserve"> </v>
      </c>
      <c r="H494" s="34" t="str">
        <f>IF(A494&lt;0,'CAR PROMAX FILIAL CRUZ'!J488," ")</f>
        <v xml:space="preserve"> </v>
      </c>
      <c r="I494" s="34"/>
      <c r="J494" s="34"/>
      <c r="K494" s="34" t="str">
        <f>IF(A494&lt;0,'CAR PROMAX FILIAL CRUZ'!O488," ")</f>
        <v xml:space="preserve"> </v>
      </c>
      <c r="L494" s="36" t="str">
        <f>IF(A494&lt;0,'CAR PROMAX FILIAL CRUZ'!P488," ")</f>
        <v xml:space="preserve"> </v>
      </c>
      <c r="M494" s="36" t="str">
        <f>IF(A494&lt;0,'CAR PROMAX FILIAL CRUZ'!Q488," ")</f>
        <v xml:space="preserve"> </v>
      </c>
      <c r="N494" s="36" t="str">
        <f>IF(A494&lt;0,'CAR PROMAX FILIAL CRUZ'!R488," ")</f>
        <v xml:space="preserve"> </v>
      </c>
      <c r="O494" s="37" t="str">
        <f>IF(A494&lt;0,'CAR PROMAX FILIAL CRUZ'!S488," ")</f>
        <v xml:space="preserve"> </v>
      </c>
      <c r="P494" s="37" t="str">
        <f>IF(A494&lt;0,'CAR PROMAX FILIAL CRUZ'!T488," ")</f>
        <v xml:space="preserve"> </v>
      </c>
      <c r="Q494" s="37" t="str">
        <f>IF(A494&lt;0,'CAR PROMAX FILIAL CRUZ'!U488," ")</f>
        <v xml:space="preserve"> </v>
      </c>
      <c r="R494" s="34" t="str">
        <f>IF(A494&lt;0,'CAR PROMAX FILIAL CRUZ'!V488," ")</f>
        <v xml:space="preserve"> </v>
      </c>
    </row>
    <row r="495" spans="1:18" x14ac:dyDescent="0.25">
      <c r="A495">
        <f>'CAR PROMAX FILIAL CRUZ'!O489</f>
        <v>0</v>
      </c>
      <c r="B495" s="33" t="str">
        <f t="shared" si="17"/>
        <v xml:space="preserve"> </v>
      </c>
      <c r="C495" s="33" t="str">
        <f t="shared" si="16"/>
        <v xml:space="preserve"> </v>
      </c>
      <c r="D495" s="34" t="str">
        <f>IF(A495&lt;0,'CAR PROMAX FILIAL CRUZ'!B489," ")</f>
        <v xml:space="preserve"> </v>
      </c>
      <c r="E495" s="35" t="str">
        <f>IF(A495&lt;0,'CAR PROMAX FILIAL CRUZ'!C489," ")</f>
        <v xml:space="preserve"> </v>
      </c>
      <c r="F495" s="34" t="str">
        <f>IF(A495&lt;0,'CAR PROMAX FILIAL CRUZ'!D489," ")</f>
        <v xml:space="preserve"> </v>
      </c>
      <c r="G495" s="34" t="str">
        <f>IF(A495&lt;0,'CAR PROMAX FILIAL CRUZ'!E489," ")</f>
        <v xml:space="preserve"> </v>
      </c>
      <c r="H495" s="34" t="str">
        <f>IF(A495&lt;0,'CAR PROMAX FILIAL CRUZ'!J489," ")</f>
        <v xml:space="preserve"> </v>
      </c>
      <c r="I495" s="34"/>
      <c r="J495" s="34"/>
      <c r="K495" s="34" t="str">
        <f>IF(A495&lt;0,'CAR PROMAX FILIAL CRUZ'!O489," ")</f>
        <v xml:space="preserve"> </v>
      </c>
      <c r="L495" s="36" t="str">
        <f>IF(A495&lt;0,'CAR PROMAX FILIAL CRUZ'!P489," ")</f>
        <v xml:space="preserve"> </v>
      </c>
      <c r="M495" s="36" t="str">
        <f>IF(A495&lt;0,'CAR PROMAX FILIAL CRUZ'!Q489," ")</f>
        <v xml:space="preserve"> </v>
      </c>
      <c r="N495" s="36" t="str">
        <f>IF(A495&lt;0,'CAR PROMAX FILIAL CRUZ'!R489," ")</f>
        <v xml:space="preserve"> </v>
      </c>
      <c r="O495" s="37" t="str">
        <f>IF(A495&lt;0,'CAR PROMAX FILIAL CRUZ'!S489," ")</f>
        <v xml:space="preserve"> </v>
      </c>
      <c r="P495" s="37" t="str">
        <f>IF(A495&lt;0,'CAR PROMAX FILIAL CRUZ'!T489," ")</f>
        <v xml:space="preserve"> </v>
      </c>
      <c r="Q495" s="37" t="str">
        <f>IF(A495&lt;0,'CAR PROMAX FILIAL CRUZ'!U489," ")</f>
        <v xml:space="preserve"> </v>
      </c>
      <c r="R495" s="34" t="str">
        <f>IF(A495&lt;0,'CAR PROMAX FILIAL CRUZ'!V489," ")</f>
        <v xml:space="preserve"> </v>
      </c>
    </row>
    <row r="496" spans="1:18" x14ac:dyDescent="0.25">
      <c r="A496">
        <f>'CAR PROMAX FILIAL CRUZ'!O490</f>
        <v>0</v>
      </c>
      <c r="B496" s="33" t="str">
        <f t="shared" si="17"/>
        <v xml:space="preserve"> </v>
      </c>
      <c r="C496" s="33" t="str">
        <f t="shared" si="16"/>
        <v xml:space="preserve"> </v>
      </c>
      <c r="D496" s="34" t="str">
        <f>IF(A496&lt;0,'CAR PROMAX FILIAL CRUZ'!B490," ")</f>
        <v xml:space="preserve"> </v>
      </c>
      <c r="E496" s="35" t="str">
        <f>IF(A496&lt;0,'CAR PROMAX FILIAL CRUZ'!C490," ")</f>
        <v xml:space="preserve"> </v>
      </c>
      <c r="F496" s="34" t="str">
        <f>IF(A496&lt;0,'CAR PROMAX FILIAL CRUZ'!D490," ")</f>
        <v xml:space="preserve"> </v>
      </c>
      <c r="G496" s="34" t="str">
        <f>IF(A496&lt;0,'CAR PROMAX FILIAL CRUZ'!E490," ")</f>
        <v xml:space="preserve"> </v>
      </c>
      <c r="H496" s="34" t="str">
        <f>IF(A496&lt;0,'CAR PROMAX FILIAL CRUZ'!J490," ")</f>
        <v xml:space="preserve"> </v>
      </c>
      <c r="I496" s="34"/>
      <c r="J496" s="34"/>
      <c r="K496" s="34" t="str">
        <f>IF(A496&lt;0,'CAR PROMAX FILIAL CRUZ'!O490," ")</f>
        <v xml:space="preserve"> </v>
      </c>
      <c r="L496" s="36" t="str">
        <f>IF(A496&lt;0,'CAR PROMAX FILIAL CRUZ'!P490," ")</f>
        <v xml:space="preserve"> </v>
      </c>
      <c r="M496" s="36" t="str">
        <f>IF(A496&lt;0,'CAR PROMAX FILIAL CRUZ'!Q490," ")</f>
        <v xml:space="preserve"> </v>
      </c>
      <c r="N496" s="36" t="str">
        <f>IF(A496&lt;0,'CAR PROMAX FILIAL CRUZ'!R490," ")</f>
        <v xml:space="preserve"> </v>
      </c>
      <c r="O496" s="37" t="str">
        <f>IF(A496&lt;0,'CAR PROMAX FILIAL CRUZ'!S490," ")</f>
        <v xml:space="preserve"> </v>
      </c>
      <c r="P496" s="37" t="str">
        <f>IF(A496&lt;0,'CAR PROMAX FILIAL CRUZ'!T490," ")</f>
        <v xml:space="preserve"> </v>
      </c>
      <c r="Q496" s="37" t="str">
        <f>IF(A496&lt;0,'CAR PROMAX FILIAL CRUZ'!U490," ")</f>
        <v xml:space="preserve"> </v>
      </c>
      <c r="R496" s="34" t="str">
        <f>IF(A496&lt;0,'CAR PROMAX FILIAL CRUZ'!V490," ")</f>
        <v xml:space="preserve"> </v>
      </c>
    </row>
    <row r="497" spans="1:21" x14ac:dyDescent="0.25">
      <c r="A497">
        <f>'CAR PROMAX FILIAL CRUZ'!O491</f>
        <v>0</v>
      </c>
      <c r="B497" s="33" t="str">
        <f t="shared" si="17"/>
        <v xml:space="preserve"> </v>
      </c>
      <c r="C497" s="33" t="str">
        <f t="shared" si="16"/>
        <v xml:space="preserve"> </v>
      </c>
      <c r="D497" s="34" t="str">
        <f>IF(A497&lt;0,'CAR PROMAX FILIAL CRUZ'!B491," ")</f>
        <v xml:space="preserve"> </v>
      </c>
      <c r="E497" s="35" t="str">
        <f>IF(A497&lt;0,'CAR PROMAX FILIAL CRUZ'!C491," ")</f>
        <v xml:space="preserve"> </v>
      </c>
      <c r="F497" s="34" t="str">
        <f>IF(A497&lt;0,'CAR PROMAX FILIAL CRUZ'!D491," ")</f>
        <v xml:space="preserve"> </v>
      </c>
      <c r="G497" s="34" t="str">
        <f>IF(A497&lt;0,'CAR PROMAX FILIAL CRUZ'!E491," ")</f>
        <v xml:space="preserve"> </v>
      </c>
      <c r="H497" s="34" t="str">
        <f>IF(A497&lt;0,'CAR PROMAX FILIAL CRUZ'!J491," ")</f>
        <v xml:space="preserve"> </v>
      </c>
      <c r="I497" s="34"/>
      <c r="J497" s="34"/>
      <c r="K497" s="34" t="str">
        <f>IF(A497&lt;0,'CAR PROMAX FILIAL CRUZ'!O491," ")</f>
        <v xml:space="preserve"> </v>
      </c>
      <c r="L497" s="36" t="str">
        <f>IF(A497&lt;0,'CAR PROMAX FILIAL CRUZ'!P491," ")</f>
        <v xml:space="preserve"> </v>
      </c>
      <c r="M497" s="36" t="str">
        <f>IF(A497&lt;0,'CAR PROMAX FILIAL CRUZ'!Q491," ")</f>
        <v xml:space="preserve"> </v>
      </c>
      <c r="N497" s="36" t="str">
        <f>IF(A497&lt;0,'CAR PROMAX FILIAL CRUZ'!R491," ")</f>
        <v xml:space="preserve"> </v>
      </c>
      <c r="O497" s="37" t="str">
        <f>IF(A497&lt;0,'CAR PROMAX FILIAL CRUZ'!S491," ")</f>
        <v xml:space="preserve"> </v>
      </c>
      <c r="P497" s="37" t="str">
        <f>IF(A497&lt;0,'CAR PROMAX FILIAL CRUZ'!T491," ")</f>
        <v xml:space="preserve"> </v>
      </c>
      <c r="Q497" s="37" t="str">
        <f>IF(A497&lt;0,'CAR PROMAX FILIAL CRUZ'!U491," ")</f>
        <v xml:space="preserve"> </v>
      </c>
      <c r="R497" s="34" t="str">
        <f>IF(A497&lt;0,'CAR PROMAX FILIAL CRUZ'!V491," ")</f>
        <v xml:space="preserve"> </v>
      </c>
    </row>
    <row r="498" spans="1:21" x14ac:dyDescent="0.25">
      <c r="B498" s="19"/>
      <c r="C498" s="19"/>
      <c r="D498" s="19"/>
      <c r="E498" s="20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U498" s="21"/>
    </row>
    <row r="499" spans="1:21" x14ac:dyDescent="0.25">
      <c r="B499" s="23"/>
      <c r="C499" s="23"/>
      <c r="D499" s="23"/>
      <c r="E499" s="24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</row>
  </sheetData>
  <mergeCells count="4">
    <mergeCell ref="O1:P1"/>
    <mergeCell ref="Q1:R1"/>
    <mergeCell ref="L2:L3"/>
    <mergeCell ref="M2:M3"/>
  </mergeCells>
  <phoneticPr fontId="20" type="noConversion"/>
  <conditionalFormatting sqref="B2:B1048576">
    <cfRule type="cellIs" dxfId="18" priority="17" operator="equal">
      <formula>"PDD"</formula>
    </cfRule>
    <cfRule type="cellIs" dxfId="17" priority="18" operator="equal">
      <formula>"IREC."</formula>
    </cfRule>
  </conditionalFormatting>
  <conditionalFormatting sqref="F2:F4">
    <cfRule type="cellIs" dxfId="16" priority="13" operator="equal">
      <formula>"PDD"</formula>
    </cfRule>
    <cfRule type="cellIs" dxfId="15" priority="14" operator="equal">
      <formula>"IRREC."</formula>
    </cfRule>
  </conditionalFormatting>
  <conditionalFormatting sqref="G1:G4">
    <cfRule type="cellIs" dxfId="14" priority="11" operator="equal">
      <formula>"PDD"</formula>
    </cfRule>
    <cfRule type="cellIs" dxfId="13" priority="12" operator="equal">
      <formula>"IRREC."</formula>
    </cfRule>
  </conditionalFormatting>
  <conditionalFormatting sqref="M2">
    <cfRule type="cellIs" dxfId="12" priority="2" operator="equal">
      <formula>$L$2</formula>
    </cfRule>
  </conditionalFormatting>
  <conditionalFormatting sqref="M2:M3">
    <cfRule type="cellIs" dxfId="11" priority="8" operator="greaterThan">
      <formula>$L$2</formula>
    </cfRule>
  </conditionalFormatting>
  <conditionalFormatting sqref="M2:M4">
    <cfRule type="cellIs" dxfId="10" priority="1" operator="equal">
      <formula>"-"</formula>
    </cfRule>
  </conditionalFormatting>
  <conditionalFormatting sqref="M4">
    <cfRule type="cellIs" dxfId="9" priority="4" operator="greaterThan">
      <formula>0.0012</formula>
    </cfRule>
    <cfRule type="cellIs" dxfId="8" priority="7" operator="greaterThan">
      <formula>$L$4</formula>
    </cfRule>
    <cfRule type="cellIs" dxfId="7" priority="9" operator="equal">
      <formula>"PDD"</formula>
    </cfRule>
    <cfRule type="cellIs" dxfId="6" priority="10" operator="equal">
      <formula>"IRREC."</formula>
    </cfRule>
  </conditionalFormatting>
  <conditionalFormatting sqref="M1:N1">
    <cfRule type="cellIs" dxfId="5" priority="5" operator="equal">
      <formula>"PDD"</formula>
    </cfRule>
    <cfRule type="cellIs" dxfId="4" priority="6" operator="equal">
      <formula>"IRREC."</formula>
    </cfRule>
  </conditionalFormatting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59"/>
  <sheetViews>
    <sheetView topLeftCell="A25" workbookViewId="0">
      <selection activeCell="O30" sqref="O2:O30"/>
    </sheetView>
  </sheetViews>
  <sheetFormatPr defaultRowHeight="15" x14ac:dyDescent="0.25"/>
  <cols>
    <col min="1" max="1" width="7" bestFit="1" customWidth="1"/>
    <col min="3" max="3" width="31.7109375" bestFit="1" customWidth="1"/>
    <col min="4" max="4" width="7" bestFit="1" customWidth="1"/>
    <col min="5" max="5" width="7.85546875" bestFit="1" customWidth="1"/>
    <col min="6" max="6" width="9.28515625" customWidth="1"/>
    <col min="7" max="7" width="6.85546875" customWidth="1"/>
    <col min="8" max="8" width="12" customWidth="1"/>
    <col min="9" max="9" width="8.7109375" customWidth="1"/>
    <col min="10" max="10" width="11.140625" customWidth="1"/>
    <col min="11" max="12" width="9.28515625" customWidth="1"/>
    <col min="13" max="13" width="10.42578125" customWidth="1"/>
    <col min="14" max="14" width="17.42578125" customWidth="1"/>
    <col min="15" max="15" width="6.7109375" bestFit="1" customWidth="1"/>
    <col min="16" max="16" width="13.7109375" customWidth="1"/>
    <col min="17" max="17" width="13.28515625" customWidth="1"/>
    <col min="18" max="18" width="12.85546875" bestFit="1" customWidth="1"/>
    <col min="19" max="19" width="13.7109375" style="3" bestFit="1" customWidth="1"/>
    <col min="20" max="20" width="15.28515625" bestFit="1" customWidth="1"/>
    <col min="21" max="21" width="15" bestFit="1" customWidth="1"/>
    <col min="22" max="22" width="11.7109375" bestFit="1" customWidth="1"/>
    <col min="24" max="24" width="10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s="3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40" x14ac:dyDescent="0.25">
      <c r="A2">
        <v>2</v>
      </c>
      <c r="B2">
        <v>576</v>
      </c>
      <c r="C2" t="s">
        <v>93</v>
      </c>
      <c r="D2">
        <v>2</v>
      </c>
      <c r="E2">
        <v>79246</v>
      </c>
      <c r="F2">
        <v>0</v>
      </c>
      <c r="G2">
        <v>1</v>
      </c>
      <c r="H2">
        <v>1</v>
      </c>
      <c r="I2">
        <v>10</v>
      </c>
      <c r="J2">
        <v>101</v>
      </c>
      <c r="K2">
        <v>4</v>
      </c>
      <c r="L2">
        <v>0</v>
      </c>
      <c r="M2">
        <v>237</v>
      </c>
      <c r="N2" t="s">
        <v>38</v>
      </c>
      <c r="O2">
        <v>-95</v>
      </c>
      <c r="P2" s="1">
        <v>46034</v>
      </c>
      <c r="Q2" s="1">
        <v>46035</v>
      </c>
      <c r="R2" s="1">
        <v>46041</v>
      </c>
      <c r="S2">
        <v>459.85</v>
      </c>
      <c r="T2">
        <v>459.85</v>
      </c>
      <c r="U2">
        <v>555.17999999999995</v>
      </c>
      <c r="V2">
        <v>3612006755</v>
      </c>
      <c r="W2">
        <v>6</v>
      </c>
      <c r="X2" t="s">
        <v>92</v>
      </c>
      <c r="Y2" t="s">
        <v>39</v>
      </c>
      <c r="Z2">
        <v>0</v>
      </c>
      <c r="AA2">
        <v>73</v>
      </c>
      <c r="AB2">
        <v>5</v>
      </c>
      <c r="AC2" t="s">
        <v>40</v>
      </c>
      <c r="AD2">
        <v>4</v>
      </c>
      <c r="AE2" t="s">
        <v>41</v>
      </c>
      <c r="AF2" t="s">
        <v>41</v>
      </c>
      <c r="AG2" t="s">
        <v>23</v>
      </c>
      <c r="AH2" t="s">
        <v>42</v>
      </c>
      <c r="AI2" t="s">
        <v>46</v>
      </c>
      <c r="AJ2" t="s">
        <v>47</v>
      </c>
      <c r="AK2" t="s">
        <v>43</v>
      </c>
      <c r="AL2" t="s">
        <v>44</v>
      </c>
      <c r="AM2" t="s">
        <v>45</v>
      </c>
      <c r="AN2" t="s">
        <v>41</v>
      </c>
    </row>
    <row r="3" spans="1:40" x14ac:dyDescent="0.25">
      <c r="A3">
        <v>2</v>
      </c>
      <c r="B3">
        <v>3730</v>
      </c>
      <c r="C3" t="s">
        <v>91</v>
      </c>
      <c r="D3">
        <v>2</v>
      </c>
      <c r="E3">
        <v>79463</v>
      </c>
      <c r="F3">
        <v>0</v>
      </c>
      <c r="G3">
        <v>1</v>
      </c>
      <c r="H3">
        <v>5</v>
      </c>
      <c r="I3">
        <v>50</v>
      </c>
      <c r="J3">
        <v>514</v>
      </c>
      <c r="K3">
        <v>4</v>
      </c>
      <c r="L3">
        <v>0</v>
      </c>
      <c r="M3">
        <v>237</v>
      </c>
      <c r="N3" t="s">
        <v>38</v>
      </c>
      <c r="O3">
        <v>-93</v>
      </c>
      <c r="P3" s="1">
        <v>46035</v>
      </c>
      <c r="Q3" s="1">
        <v>46036</v>
      </c>
      <c r="R3" s="1">
        <v>46043</v>
      </c>
      <c r="S3">
        <v>631.69000000000005</v>
      </c>
      <c r="T3">
        <v>631.69000000000005</v>
      </c>
      <c r="U3">
        <v>760.55</v>
      </c>
      <c r="V3">
        <v>3612006784</v>
      </c>
      <c r="W3" t="s">
        <v>80</v>
      </c>
      <c r="X3" t="s">
        <v>92</v>
      </c>
      <c r="Y3" t="s">
        <v>39</v>
      </c>
      <c r="Z3">
        <v>0</v>
      </c>
      <c r="AA3">
        <v>73</v>
      </c>
      <c r="AB3">
        <v>5</v>
      </c>
      <c r="AC3" t="s">
        <v>40</v>
      </c>
      <c r="AD3">
        <v>4</v>
      </c>
      <c r="AE3" t="s">
        <v>41</v>
      </c>
      <c r="AF3" t="s">
        <v>41</v>
      </c>
      <c r="AG3" t="s">
        <v>23</v>
      </c>
      <c r="AH3" t="s">
        <v>42</v>
      </c>
      <c r="AI3" t="s">
        <v>46</v>
      </c>
      <c r="AJ3" t="s">
        <v>47</v>
      </c>
      <c r="AK3" t="s">
        <v>43</v>
      </c>
      <c r="AL3" t="s">
        <v>44</v>
      </c>
      <c r="AM3" t="s">
        <v>45</v>
      </c>
      <c r="AN3" t="s">
        <v>41</v>
      </c>
    </row>
    <row r="4" spans="1:40" x14ac:dyDescent="0.25">
      <c r="A4">
        <v>2</v>
      </c>
      <c r="B4">
        <v>576</v>
      </c>
      <c r="C4" t="s">
        <v>93</v>
      </c>
      <c r="D4">
        <v>2</v>
      </c>
      <c r="E4">
        <v>80550</v>
      </c>
      <c r="F4">
        <v>0</v>
      </c>
      <c r="G4">
        <v>1</v>
      </c>
      <c r="H4">
        <v>1</v>
      </c>
      <c r="I4">
        <v>10</v>
      </c>
      <c r="J4">
        <v>101</v>
      </c>
      <c r="K4">
        <v>4</v>
      </c>
      <c r="L4">
        <v>0</v>
      </c>
      <c r="M4">
        <v>237</v>
      </c>
      <c r="N4" t="s">
        <v>38</v>
      </c>
      <c r="O4">
        <v>-88</v>
      </c>
      <c r="P4" s="1">
        <v>46041</v>
      </c>
      <c r="Q4" s="1">
        <v>46042</v>
      </c>
      <c r="R4" s="1">
        <v>46048</v>
      </c>
      <c r="S4">
        <v>300.93</v>
      </c>
      <c r="T4">
        <v>300.93</v>
      </c>
      <c r="U4">
        <v>359.8</v>
      </c>
      <c r="V4">
        <v>3612006964</v>
      </c>
      <c r="W4">
        <v>8</v>
      </c>
      <c r="X4" t="s">
        <v>92</v>
      </c>
      <c r="Y4" t="s">
        <v>39</v>
      </c>
      <c r="Z4">
        <v>0</v>
      </c>
      <c r="AA4">
        <v>73</v>
      </c>
      <c r="AB4">
        <v>5</v>
      </c>
      <c r="AC4" t="s">
        <v>40</v>
      </c>
      <c r="AD4">
        <v>4</v>
      </c>
      <c r="AE4" t="s">
        <v>41</v>
      </c>
      <c r="AF4" t="s">
        <v>41</v>
      </c>
      <c r="AG4" t="s">
        <v>23</v>
      </c>
      <c r="AH4" t="s">
        <v>42</v>
      </c>
      <c r="AI4" t="s">
        <v>46</v>
      </c>
      <c r="AJ4" t="s">
        <v>47</v>
      </c>
      <c r="AK4" t="s">
        <v>43</v>
      </c>
      <c r="AL4" t="s">
        <v>44</v>
      </c>
      <c r="AM4" t="s">
        <v>45</v>
      </c>
      <c r="AN4" t="s">
        <v>41</v>
      </c>
    </row>
    <row r="5" spans="1:40" x14ac:dyDescent="0.25">
      <c r="A5">
        <v>2</v>
      </c>
      <c r="B5">
        <v>253</v>
      </c>
      <c r="C5" t="s">
        <v>94</v>
      </c>
      <c r="D5">
        <v>2</v>
      </c>
      <c r="E5">
        <v>83008</v>
      </c>
      <c r="F5">
        <v>0</v>
      </c>
      <c r="G5">
        <v>1</v>
      </c>
      <c r="H5">
        <v>5</v>
      </c>
      <c r="I5">
        <v>50</v>
      </c>
      <c r="J5">
        <v>513</v>
      </c>
      <c r="K5">
        <v>4</v>
      </c>
      <c r="L5">
        <v>0</v>
      </c>
      <c r="M5">
        <v>237</v>
      </c>
      <c r="N5" t="s">
        <v>38</v>
      </c>
      <c r="O5">
        <v>-74</v>
      </c>
      <c r="P5" s="1">
        <v>46052</v>
      </c>
      <c r="Q5" s="1">
        <v>46053</v>
      </c>
      <c r="R5" s="1">
        <v>46062</v>
      </c>
      <c r="S5">
        <v>143.31</v>
      </c>
      <c r="T5">
        <v>143.31</v>
      </c>
      <c r="U5">
        <v>168</v>
      </c>
      <c r="V5">
        <v>3612007292</v>
      </c>
      <c r="W5">
        <v>4</v>
      </c>
      <c r="X5" t="s">
        <v>92</v>
      </c>
      <c r="Y5" t="s">
        <v>39</v>
      </c>
      <c r="Z5">
        <v>0</v>
      </c>
      <c r="AA5">
        <v>75</v>
      </c>
      <c r="AB5">
        <v>5</v>
      </c>
      <c r="AC5" t="s">
        <v>40</v>
      </c>
      <c r="AD5">
        <v>3</v>
      </c>
      <c r="AE5" t="s">
        <v>41</v>
      </c>
      <c r="AF5" t="s">
        <v>41</v>
      </c>
      <c r="AG5" s="1">
        <v>46092</v>
      </c>
      <c r="AH5" t="s">
        <v>42</v>
      </c>
      <c r="AI5" t="s">
        <v>115</v>
      </c>
      <c r="AJ5" t="s">
        <v>116</v>
      </c>
      <c r="AK5" t="s">
        <v>43</v>
      </c>
      <c r="AL5" t="s">
        <v>44</v>
      </c>
      <c r="AM5" t="s">
        <v>45</v>
      </c>
      <c r="AN5" t="s">
        <v>41</v>
      </c>
    </row>
    <row r="6" spans="1:40" x14ac:dyDescent="0.25">
      <c r="A6">
        <v>2</v>
      </c>
      <c r="B6">
        <v>253</v>
      </c>
      <c r="C6" t="s">
        <v>94</v>
      </c>
      <c r="D6">
        <v>2</v>
      </c>
      <c r="E6">
        <v>83009</v>
      </c>
      <c r="F6">
        <v>0</v>
      </c>
      <c r="G6">
        <v>1</v>
      </c>
      <c r="H6">
        <v>5</v>
      </c>
      <c r="I6">
        <v>50</v>
      </c>
      <c r="J6">
        <v>513</v>
      </c>
      <c r="K6">
        <v>4</v>
      </c>
      <c r="L6">
        <v>0</v>
      </c>
      <c r="M6">
        <v>237</v>
      </c>
      <c r="N6" t="s">
        <v>38</v>
      </c>
      <c r="O6">
        <v>-74</v>
      </c>
      <c r="P6" s="1">
        <v>46052</v>
      </c>
      <c r="Q6" s="1">
        <v>46053</v>
      </c>
      <c r="R6" s="1">
        <v>46062</v>
      </c>
      <c r="S6">
        <v>883.83</v>
      </c>
      <c r="T6">
        <v>883.83</v>
      </c>
      <c r="U6">
        <v>1036.1300000000001</v>
      </c>
      <c r="V6">
        <v>3612007293</v>
      </c>
      <c r="W6">
        <v>2</v>
      </c>
      <c r="X6" t="s">
        <v>92</v>
      </c>
      <c r="Y6" t="s">
        <v>39</v>
      </c>
      <c r="Z6">
        <v>0</v>
      </c>
      <c r="AA6">
        <v>75</v>
      </c>
      <c r="AB6">
        <v>5</v>
      </c>
      <c r="AC6" t="s">
        <v>40</v>
      </c>
      <c r="AD6">
        <v>3</v>
      </c>
      <c r="AE6" t="s">
        <v>41</v>
      </c>
      <c r="AF6" t="s">
        <v>41</v>
      </c>
      <c r="AG6" s="1">
        <v>46092</v>
      </c>
      <c r="AH6" t="s">
        <v>42</v>
      </c>
      <c r="AI6" t="s">
        <v>115</v>
      </c>
      <c r="AJ6" t="s">
        <v>116</v>
      </c>
      <c r="AK6" t="s">
        <v>43</v>
      </c>
      <c r="AL6" t="s">
        <v>44</v>
      </c>
      <c r="AM6" t="s">
        <v>45</v>
      </c>
      <c r="AN6" t="s">
        <v>41</v>
      </c>
    </row>
    <row r="7" spans="1:40" x14ac:dyDescent="0.25">
      <c r="A7">
        <v>2</v>
      </c>
      <c r="B7">
        <v>253</v>
      </c>
      <c r="C7" t="s">
        <v>94</v>
      </c>
      <c r="D7">
        <v>2</v>
      </c>
      <c r="E7">
        <v>84202</v>
      </c>
      <c r="F7">
        <v>0</v>
      </c>
      <c r="G7">
        <v>1</v>
      </c>
      <c r="H7">
        <v>5</v>
      </c>
      <c r="I7">
        <v>50</v>
      </c>
      <c r="J7">
        <v>513</v>
      </c>
      <c r="K7">
        <v>4</v>
      </c>
      <c r="L7">
        <v>0</v>
      </c>
      <c r="M7">
        <v>237</v>
      </c>
      <c r="N7" t="s">
        <v>38</v>
      </c>
      <c r="O7">
        <v>-67</v>
      </c>
      <c r="P7" s="1">
        <v>46059</v>
      </c>
      <c r="Q7" s="1">
        <v>46060</v>
      </c>
      <c r="R7" s="1">
        <v>46069</v>
      </c>
      <c r="S7">
        <v>827.03</v>
      </c>
      <c r="T7">
        <v>827.03</v>
      </c>
      <c r="U7">
        <v>959.9</v>
      </c>
      <c r="V7">
        <v>3612007481</v>
      </c>
      <c r="W7">
        <v>1</v>
      </c>
      <c r="X7" t="s">
        <v>88</v>
      </c>
      <c r="Y7" t="s">
        <v>39</v>
      </c>
      <c r="Z7">
        <v>0</v>
      </c>
      <c r="AA7">
        <v>75</v>
      </c>
      <c r="AB7">
        <v>5</v>
      </c>
      <c r="AC7" t="s">
        <v>40</v>
      </c>
      <c r="AD7">
        <v>4</v>
      </c>
      <c r="AE7" t="s">
        <v>41</v>
      </c>
      <c r="AF7" t="s">
        <v>41</v>
      </c>
      <c r="AG7" s="1">
        <v>46092</v>
      </c>
      <c r="AH7" t="s">
        <v>42</v>
      </c>
      <c r="AI7" t="s">
        <v>115</v>
      </c>
      <c r="AJ7" t="s">
        <v>116</v>
      </c>
      <c r="AK7" t="s">
        <v>43</v>
      </c>
      <c r="AL7" t="s">
        <v>44</v>
      </c>
      <c r="AM7" t="s">
        <v>45</v>
      </c>
      <c r="AN7" t="s">
        <v>41</v>
      </c>
    </row>
    <row r="8" spans="1:40" x14ac:dyDescent="0.25">
      <c r="A8">
        <v>2</v>
      </c>
      <c r="B8">
        <v>3898</v>
      </c>
      <c r="C8" t="s">
        <v>95</v>
      </c>
      <c r="D8">
        <v>2</v>
      </c>
      <c r="E8">
        <v>85694</v>
      </c>
      <c r="F8">
        <v>0</v>
      </c>
      <c r="G8">
        <v>1</v>
      </c>
      <c r="H8">
        <v>1</v>
      </c>
      <c r="I8">
        <v>10</v>
      </c>
      <c r="J8">
        <v>104</v>
      </c>
      <c r="K8">
        <v>4</v>
      </c>
      <c r="L8">
        <v>0</v>
      </c>
      <c r="M8">
        <v>237</v>
      </c>
      <c r="N8" t="s">
        <v>38</v>
      </c>
      <c r="O8">
        <v>-65</v>
      </c>
      <c r="P8" s="1">
        <v>46066</v>
      </c>
      <c r="Q8" s="1">
        <v>46067</v>
      </c>
      <c r="R8" s="1">
        <v>46071</v>
      </c>
      <c r="S8">
        <v>213.61</v>
      </c>
      <c r="T8">
        <v>213.61</v>
      </c>
      <c r="U8">
        <v>247.21</v>
      </c>
      <c r="V8">
        <v>3612007713</v>
      </c>
      <c r="W8">
        <v>6</v>
      </c>
      <c r="X8" t="s">
        <v>88</v>
      </c>
      <c r="Y8" t="s">
        <v>39</v>
      </c>
      <c r="Z8">
        <v>0</v>
      </c>
      <c r="AA8">
        <v>75</v>
      </c>
      <c r="AB8">
        <v>5</v>
      </c>
      <c r="AC8" t="s">
        <v>40</v>
      </c>
      <c r="AD8">
        <v>4</v>
      </c>
      <c r="AE8" t="s">
        <v>41</v>
      </c>
      <c r="AF8" t="s">
        <v>41</v>
      </c>
      <c r="AG8" t="s">
        <v>23</v>
      </c>
      <c r="AH8" t="s">
        <v>42</v>
      </c>
      <c r="AI8" t="s">
        <v>46</v>
      </c>
      <c r="AJ8" t="s">
        <v>47</v>
      </c>
      <c r="AK8" t="s">
        <v>43</v>
      </c>
      <c r="AL8" t="s">
        <v>44</v>
      </c>
      <c r="AM8" t="s">
        <v>45</v>
      </c>
      <c r="AN8" t="s">
        <v>41</v>
      </c>
    </row>
    <row r="9" spans="1:40" x14ac:dyDescent="0.25">
      <c r="A9">
        <v>2</v>
      </c>
      <c r="B9">
        <v>3581</v>
      </c>
      <c r="C9" t="s">
        <v>100</v>
      </c>
      <c r="D9">
        <v>2</v>
      </c>
      <c r="E9">
        <v>86353</v>
      </c>
      <c r="F9">
        <v>0</v>
      </c>
      <c r="G9">
        <v>1</v>
      </c>
      <c r="H9">
        <v>1</v>
      </c>
      <c r="I9">
        <v>10</v>
      </c>
      <c r="J9">
        <v>102</v>
      </c>
      <c r="K9">
        <v>4</v>
      </c>
      <c r="L9">
        <v>0</v>
      </c>
      <c r="M9">
        <v>237</v>
      </c>
      <c r="N9" t="s">
        <v>38</v>
      </c>
      <c r="O9">
        <v>-56</v>
      </c>
      <c r="P9" s="1">
        <v>46072</v>
      </c>
      <c r="Q9" s="1">
        <v>46073</v>
      </c>
      <c r="R9" s="1">
        <v>46080</v>
      </c>
      <c r="S9">
        <v>392.88</v>
      </c>
      <c r="T9">
        <v>392.88</v>
      </c>
      <c r="U9">
        <v>448.79</v>
      </c>
      <c r="V9">
        <v>3612007801</v>
      </c>
      <c r="W9">
        <v>9</v>
      </c>
      <c r="X9" t="s">
        <v>88</v>
      </c>
      <c r="Y9" t="s">
        <v>39</v>
      </c>
      <c r="Z9">
        <v>0</v>
      </c>
      <c r="AA9">
        <v>75</v>
      </c>
      <c r="AB9">
        <v>5</v>
      </c>
      <c r="AC9" t="s">
        <v>40</v>
      </c>
      <c r="AD9">
        <v>4</v>
      </c>
      <c r="AE9" t="s">
        <v>41</v>
      </c>
      <c r="AF9" t="s">
        <v>41</v>
      </c>
      <c r="AG9" t="s">
        <v>23</v>
      </c>
      <c r="AH9" t="s">
        <v>42</v>
      </c>
      <c r="AI9" t="s">
        <v>46</v>
      </c>
      <c r="AJ9" t="s">
        <v>47</v>
      </c>
      <c r="AK9" t="s">
        <v>43</v>
      </c>
      <c r="AL9" t="s">
        <v>44</v>
      </c>
      <c r="AM9" t="s">
        <v>45</v>
      </c>
      <c r="AN9" t="s">
        <v>41</v>
      </c>
    </row>
    <row r="10" spans="1:40" x14ac:dyDescent="0.25">
      <c r="A10">
        <v>2</v>
      </c>
      <c r="B10">
        <v>3581</v>
      </c>
      <c r="C10" t="s">
        <v>100</v>
      </c>
      <c r="D10">
        <v>2</v>
      </c>
      <c r="E10">
        <v>86354</v>
      </c>
      <c r="F10">
        <v>0</v>
      </c>
      <c r="G10">
        <v>1</v>
      </c>
      <c r="H10">
        <v>1</v>
      </c>
      <c r="I10">
        <v>10</v>
      </c>
      <c r="J10">
        <v>102</v>
      </c>
      <c r="K10">
        <v>4</v>
      </c>
      <c r="L10">
        <v>0</v>
      </c>
      <c r="M10">
        <v>237</v>
      </c>
      <c r="N10" t="s">
        <v>38</v>
      </c>
      <c r="O10">
        <v>-56</v>
      </c>
      <c r="P10" s="1">
        <v>46072</v>
      </c>
      <c r="Q10" s="1">
        <v>46073</v>
      </c>
      <c r="R10" s="1">
        <v>46080</v>
      </c>
      <c r="S10">
        <v>509.94</v>
      </c>
      <c r="T10">
        <v>509.94</v>
      </c>
      <c r="U10">
        <v>582.51</v>
      </c>
      <c r="V10">
        <v>3612007802</v>
      </c>
      <c r="W10">
        <v>7</v>
      </c>
      <c r="X10" t="s">
        <v>88</v>
      </c>
      <c r="Y10" t="s">
        <v>39</v>
      </c>
      <c r="Z10">
        <v>0</v>
      </c>
      <c r="AA10">
        <v>75</v>
      </c>
      <c r="AB10">
        <v>5</v>
      </c>
      <c r="AC10" t="s">
        <v>40</v>
      </c>
      <c r="AD10">
        <v>4</v>
      </c>
      <c r="AE10" t="s">
        <v>41</v>
      </c>
      <c r="AF10" t="s">
        <v>41</v>
      </c>
      <c r="AG10" t="s">
        <v>23</v>
      </c>
      <c r="AH10" t="s">
        <v>42</v>
      </c>
      <c r="AI10" t="s">
        <v>46</v>
      </c>
      <c r="AJ10" t="s">
        <v>47</v>
      </c>
      <c r="AK10" t="s">
        <v>43</v>
      </c>
      <c r="AL10" t="s">
        <v>44</v>
      </c>
      <c r="AM10" t="s">
        <v>45</v>
      </c>
      <c r="AN10" t="s">
        <v>41</v>
      </c>
    </row>
    <row r="11" spans="1:40" x14ac:dyDescent="0.25">
      <c r="A11">
        <v>2</v>
      </c>
      <c r="B11">
        <v>2977</v>
      </c>
      <c r="C11" t="s">
        <v>106</v>
      </c>
      <c r="D11">
        <v>2</v>
      </c>
      <c r="E11">
        <v>86678</v>
      </c>
      <c r="F11">
        <v>0</v>
      </c>
      <c r="G11">
        <v>1</v>
      </c>
      <c r="H11">
        <v>5</v>
      </c>
      <c r="I11">
        <v>50</v>
      </c>
      <c r="J11">
        <v>515</v>
      </c>
      <c r="K11">
        <v>4</v>
      </c>
      <c r="L11">
        <v>0</v>
      </c>
      <c r="M11">
        <v>237</v>
      </c>
      <c r="N11" t="s">
        <v>38</v>
      </c>
      <c r="O11">
        <v>-52</v>
      </c>
      <c r="P11" s="1">
        <v>46076</v>
      </c>
      <c r="Q11" s="1">
        <v>46077</v>
      </c>
      <c r="R11" s="1">
        <v>46084</v>
      </c>
      <c r="S11">
        <v>900.3</v>
      </c>
      <c r="T11">
        <v>900.3</v>
      </c>
      <c r="U11">
        <v>1022.43</v>
      </c>
      <c r="V11">
        <v>3612007844</v>
      </c>
      <c r="W11">
        <v>2</v>
      </c>
      <c r="X11" t="s">
        <v>89</v>
      </c>
      <c r="Y11" t="s">
        <v>39</v>
      </c>
      <c r="Z11">
        <v>0</v>
      </c>
      <c r="AA11">
        <v>75</v>
      </c>
      <c r="AB11">
        <v>5</v>
      </c>
      <c r="AC11" t="s">
        <v>40</v>
      </c>
      <c r="AD11">
        <v>5</v>
      </c>
      <c r="AE11" t="s">
        <v>41</v>
      </c>
      <c r="AF11" t="s">
        <v>41</v>
      </c>
      <c r="AG11" t="s">
        <v>23</v>
      </c>
      <c r="AH11" t="s">
        <v>42</v>
      </c>
      <c r="AI11" t="s">
        <v>46</v>
      </c>
      <c r="AJ11" t="s">
        <v>47</v>
      </c>
      <c r="AK11" t="s">
        <v>43</v>
      </c>
      <c r="AL11" t="s">
        <v>44</v>
      </c>
      <c r="AM11" t="s">
        <v>45</v>
      </c>
      <c r="AN11" t="s">
        <v>41</v>
      </c>
    </row>
    <row r="12" spans="1:40" x14ac:dyDescent="0.25">
      <c r="A12">
        <v>2</v>
      </c>
      <c r="B12">
        <v>3322</v>
      </c>
      <c r="C12" t="s">
        <v>114</v>
      </c>
      <c r="D12">
        <v>2</v>
      </c>
      <c r="E12">
        <v>88274</v>
      </c>
      <c r="F12">
        <v>0</v>
      </c>
      <c r="G12">
        <v>1</v>
      </c>
      <c r="H12">
        <v>1</v>
      </c>
      <c r="I12">
        <v>10</v>
      </c>
      <c r="J12">
        <v>101</v>
      </c>
      <c r="K12">
        <v>4</v>
      </c>
      <c r="L12">
        <v>0</v>
      </c>
      <c r="M12">
        <v>237</v>
      </c>
      <c r="N12" t="s">
        <v>38</v>
      </c>
      <c r="O12">
        <v>-44</v>
      </c>
      <c r="P12" s="1">
        <v>46084</v>
      </c>
      <c r="Q12" s="1">
        <v>46085</v>
      </c>
      <c r="R12" s="1">
        <v>46092</v>
      </c>
      <c r="S12">
        <v>304.13</v>
      </c>
      <c r="T12">
        <v>304.13</v>
      </c>
      <c r="U12">
        <v>341.33</v>
      </c>
      <c r="V12">
        <v>3612008105</v>
      </c>
      <c r="W12">
        <v>2</v>
      </c>
      <c r="X12" t="s">
        <v>89</v>
      </c>
      <c r="Y12" t="s">
        <v>39</v>
      </c>
      <c r="Z12">
        <v>0</v>
      </c>
      <c r="AA12">
        <v>75</v>
      </c>
      <c r="AB12">
        <v>4</v>
      </c>
      <c r="AC12" t="s">
        <v>40</v>
      </c>
      <c r="AD12">
        <v>4</v>
      </c>
      <c r="AE12" t="s">
        <v>41</v>
      </c>
      <c r="AF12" t="s">
        <v>41</v>
      </c>
      <c r="AG12" t="s">
        <v>23</v>
      </c>
      <c r="AH12" t="s">
        <v>42</v>
      </c>
      <c r="AI12" t="s">
        <v>46</v>
      </c>
      <c r="AJ12" t="s">
        <v>47</v>
      </c>
      <c r="AK12" t="s">
        <v>43</v>
      </c>
      <c r="AL12" t="s">
        <v>44</v>
      </c>
      <c r="AM12" t="s">
        <v>45</v>
      </c>
      <c r="AN12" t="s">
        <v>41</v>
      </c>
    </row>
    <row r="13" spans="1:40" x14ac:dyDescent="0.25">
      <c r="A13">
        <v>2</v>
      </c>
      <c r="B13">
        <v>3055</v>
      </c>
      <c r="C13" t="s">
        <v>118</v>
      </c>
      <c r="D13">
        <v>2</v>
      </c>
      <c r="E13">
        <v>89621</v>
      </c>
      <c r="F13">
        <v>0</v>
      </c>
      <c r="G13">
        <v>1</v>
      </c>
      <c r="H13">
        <v>5</v>
      </c>
      <c r="I13">
        <v>50</v>
      </c>
      <c r="J13">
        <v>514</v>
      </c>
      <c r="K13">
        <v>4</v>
      </c>
      <c r="L13">
        <v>0</v>
      </c>
      <c r="M13">
        <v>237</v>
      </c>
      <c r="N13" t="s">
        <v>38</v>
      </c>
      <c r="O13">
        <v>-35</v>
      </c>
      <c r="P13" s="1">
        <v>46093</v>
      </c>
      <c r="Q13" s="1">
        <v>46094</v>
      </c>
      <c r="R13" s="1">
        <v>46101</v>
      </c>
      <c r="S13">
        <v>622.85</v>
      </c>
      <c r="T13">
        <v>622.85</v>
      </c>
      <c r="U13">
        <v>689.69</v>
      </c>
      <c r="V13">
        <v>3612008353</v>
      </c>
      <c r="W13">
        <v>5</v>
      </c>
      <c r="X13" t="s">
        <v>86</v>
      </c>
      <c r="Y13" t="s">
        <v>39</v>
      </c>
      <c r="Z13">
        <v>0</v>
      </c>
      <c r="AA13">
        <v>75</v>
      </c>
      <c r="AB13">
        <v>5</v>
      </c>
      <c r="AC13" t="s">
        <v>40</v>
      </c>
      <c r="AD13">
        <v>5</v>
      </c>
      <c r="AE13" t="s">
        <v>41</v>
      </c>
      <c r="AF13" t="s">
        <v>41</v>
      </c>
      <c r="AG13" t="s">
        <v>23</v>
      </c>
      <c r="AH13" t="s">
        <v>42</v>
      </c>
      <c r="AI13" t="s">
        <v>46</v>
      </c>
      <c r="AJ13" t="s">
        <v>47</v>
      </c>
      <c r="AK13" t="s">
        <v>43</v>
      </c>
      <c r="AL13" t="s">
        <v>44</v>
      </c>
      <c r="AM13" t="s">
        <v>45</v>
      </c>
      <c r="AN13" t="s">
        <v>41</v>
      </c>
    </row>
    <row r="14" spans="1:40" x14ac:dyDescent="0.25">
      <c r="A14">
        <v>2</v>
      </c>
      <c r="B14">
        <v>3793</v>
      </c>
      <c r="C14" t="s">
        <v>117</v>
      </c>
      <c r="D14">
        <v>2</v>
      </c>
      <c r="E14">
        <v>89374</v>
      </c>
      <c r="F14">
        <v>0</v>
      </c>
      <c r="G14">
        <v>1</v>
      </c>
      <c r="H14">
        <v>5</v>
      </c>
      <c r="I14">
        <v>50</v>
      </c>
      <c r="J14">
        <v>514</v>
      </c>
      <c r="K14">
        <v>4</v>
      </c>
      <c r="L14">
        <v>0</v>
      </c>
      <c r="M14">
        <v>237</v>
      </c>
      <c r="N14" t="s">
        <v>38</v>
      </c>
      <c r="O14">
        <v>-35</v>
      </c>
      <c r="P14" s="1">
        <v>46092</v>
      </c>
      <c r="Q14" s="1">
        <v>46093</v>
      </c>
      <c r="R14" s="1">
        <v>46101</v>
      </c>
      <c r="S14">
        <v>1669.58</v>
      </c>
      <c r="T14">
        <v>1669.58</v>
      </c>
      <c r="U14">
        <v>1848.77</v>
      </c>
      <c r="V14">
        <v>3612008308</v>
      </c>
      <c r="W14" t="s">
        <v>80</v>
      </c>
      <c r="X14" t="s">
        <v>86</v>
      </c>
      <c r="Y14" t="s">
        <v>39</v>
      </c>
      <c r="Z14">
        <v>0</v>
      </c>
      <c r="AA14">
        <v>75</v>
      </c>
      <c r="AB14">
        <v>5</v>
      </c>
      <c r="AC14" t="s">
        <v>40</v>
      </c>
      <c r="AD14">
        <v>4</v>
      </c>
      <c r="AE14" t="s">
        <v>41</v>
      </c>
      <c r="AF14" t="s">
        <v>41</v>
      </c>
      <c r="AG14" t="s">
        <v>23</v>
      </c>
      <c r="AH14" t="s">
        <v>42</v>
      </c>
      <c r="AI14" t="s">
        <v>46</v>
      </c>
      <c r="AJ14" t="s">
        <v>47</v>
      </c>
      <c r="AK14" t="s">
        <v>43</v>
      </c>
      <c r="AL14" t="s">
        <v>44</v>
      </c>
      <c r="AM14" t="s">
        <v>45</v>
      </c>
      <c r="AN14" t="s">
        <v>41</v>
      </c>
    </row>
    <row r="15" spans="1:40" x14ac:dyDescent="0.25">
      <c r="A15">
        <v>2</v>
      </c>
      <c r="B15">
        <v>3968</v>
      </c>
      <c r="C15" t="s">
        <v>119</v>
      </c>
      <c r="D15">
        <v>2</v>
      </c>
      <c r="E15">
        <v>89591</v>
      </c>
      <c r="F15">
        <v>0</v>
      </c>
      <c r="G15">
        <v>1</v>
      </c>
      <c r="H15">
        <v>5</v>
      </c>
      <c r="I15">
        <v>50</v>
      </c>
      <c r="J15">
        <v>514</v>
      </c>
      <c r="K15">
        <v>4</v>
      </c>
      <c r="L15">
        <v>0</v>
      </c>
      <c r="M15">
        <v>237</v>
      </c>
      <c r="N15" t="s">
        <v>38</v>
      </c>
      <c r="O15">
        <v>-35</v>
      </c>
      <c r="P15" s="1">
        <v>46093</v>
      </c>
      <c r="Q15" s="1">
        <v>46094</v>
      </c>
      <c r="R15" s="1">
        <v>46101</v>
      </c>
      <c r="S15">
        <v>894.24</v>
      </c>
      <c r="T15">
        <v>894.24</v>
      </c>
      <c r="U15">
        <v>990.21</v>
      </c>
      <c r="V15">
        <v>3612008348</v>
      </c>
      <c r="W15">
        <v>9</v>
      </c>
      <c r="X15" t="s">
        <v>86</v>
      </c>
      <c r="Y15" t="s">
        <v>39</v>
      </c>
      <c r="Z15">
        <v>0</v>
      </c>
      <c r="AA15">
        <v>75</v>
      </c>
      <c r="AB15">
        <v>4</v>
      </c>
      <c r="AC15" t="s">
        <v>40</v>
      </c>
      <c r="AD15">
        <v>3</v>
      </c>
      <c r="AE15" t="s">
        <v>41</v>
      </c>
      <c r="AF15" t="s">
        <v>41</v>
      </c>
      <c r="AG15" t="s">
        <v>23</v>
      </c>
      <c r="AH15" t="s">
        <v>42</v>
      </c>
      <c r="AI15" t="s">
        <v>46</v>
      </c>
      <c r="AJ15" t="s">
        <v>47</v>
      </c>
      <c r="AK15" t="s">
        <v>43</v>
      </c>
      <c r="AL15" t="s">
        <v>44</v>
      </c>
      <c r="AM15" t="s">
        <v>45</v>
      </c>
      <c r="AN15" t="s">
        <v>41</v>
      </c>
    </row>
    <row r="16" spans="1:40" x14ac:dyDescent="0.25">
      <c r="A16">
        <v>2</v>
      </c>
      <c r="B16">
        <v>3968</v>
      </c>
      <c r="C16" t="s">
        <v>119</v>
      </c>
      <c r="D16">
        <v>2</v>
      </c>
      <c r="E16">
        <v>89907</v>
      </c>
      <c r="F16">
        <v>0</v>
      </c>
      <c r="G16">
        <v>1</v>
      </c>
      <c r="H16">
        <v>5</v>
      </c>
      <c r="I16">
        <v>50</v>
      </c>
      <c r="J16">
        <v>514</v>
      </c>
      <c r="K16">
        <v>4</v>
      </c>
      <c r="L16">
        <v>0</v>
      </c>
      <c r="M16">
        <v>237</v>
      </c>
      <c r="N16" t="s">
        <v>38</v>
      </c>
      <c r="O16">
        <v>-32</v>
      </c>
      <c r="P16" s="1">
        <v>46094</v>
      </c>
      <c r="Q16" s="1">
        <v>46095</v>
      </c>
      <c r="R16" s="1">
        <v>46104</v>
      </c>
      <c r="S16">
        <v>1225.24</v>
      </c>
      <c r="T16">
        <v>1225.24</v>
      </c>
      <c r="U16">
        <v>1350.61</v>
      </c>
      <c r="V16">
        <v>3612008405</v>
      </c>
      <c r="W16">
        <v>1</v>
      </c>
      <c r="X16" t="s">
        <v>86</v>
      </c>
      <c r="Y16" t="s">
        <v>39</v>
      </c>
      <c r="Z16">
        <v>0</v>
      </c>
      <c r="AA16">
        <v>75</v>
      </c>
      <c r="AB16">
        <v>4</v>
      </c>
      <c r="AC16" t="s">
        <v>40</v>
      </c>
      <c r="AD16">
        <v>3</v>
      </c>
      <c r="AE16" t="s">
        <v>41</v>
      </c>
      <c r="AF16" t="s">
        <v>41</v>
      </c>
      <c r="AG16" t="s">
        <v>23</v>
      </c>
      <c r="AH16" t="s">
        <v>42</v>
      </c>
      <c r="AI16" t="s">
        <v>46</v>
      </c>
      <c r="AJ16" t="s">
        <v>47</v>
      </c>
      <c r="AK16" t="s">
        <v>43</v>
      </c>
      <c r="AL16" t="s">
        <v>44</v>
      </c>
      <c r="AM16" t="s">
        <v>45</v>
      </c>
      <c r="AN16" t="s">
        <v>41</v>
      </c>
    </row>
    <row r="17" spans="1:40" x14ac:dyDescent="0.25">
      <c r="A17">
        <v>2</v>
      </c>
      <c r="B17">
        <v>2590</v>
      </c>
      <c r="C17" t="s">
        <v>120</v>
      </c>
      <c r="D17">
        <v>2</v>
      </c>
      <c r="E17">
        <v>90478</v>
      </c>
      <c r="F17">
        <v>0</v>
      </c>
      <c r="G17">
        <v>1</v>
      </c>
      <c r="H17">
        <v>5</v>
      </c>
      <c r="I17">
        <v>50</v>
      </c>
      <c r="J17">
        <v>512</v>
      </c>
      <c r="K17">
        <v>4</v>
      </c>
      <c r="L17">
        <v>0</v>
      </c>
      <c r="M17">
        <v>237</v>
      </c>
      <c r="N17" t="s">
        <v>38</v>
      </c>
      <c r="O17">
        <v>-28</v>
      </c>
      <c r="P17" s="1">
        <v>46099</v>
      </c>
      <c r="Q17" s="1">
        <v>46101</v>
      </c>
      <c r="R17" s="1">
        <v>46108</v>
      </c>
      <c r="S17">
        <v>571.98</v>
      </c>
      <c r="T17">
        <v>571.98</v>
      </c>
      <c r="U17">
        <v>626.69000000000005</v>
      </c>
      <c r="V17">
        <v>3612008490</v>
      </c>
      <c r="W17">
        <v>6</v>
      </c>
      <c r="X17" t="s">
        <v>86</v>
      </c>
      <c r="Y17" t="s">
        <v>39</v>
      </c>
      <c r="Z17">
        <v>0</v>
      </c>
      <c r="AA17">
        <v>75</v>
      </c>
      <c r="AB17">
        <v>5</v>
      </c>
      <c r="AC17" t="s">
        <v>40</v>
      </c>
      <c r="AD17">
        <v>4</v>
      </c>
      <c r="AE17" t="s">
        <v>41</v>
      </c>
      <c r="AF17" t="s">
        <v>41</v>
      </c>
      <c r="AG17" t="s">
        <v>23</v>
      </c>
      <c r="AH17" t="s">
        <v>42</v>
      </c>
      <c r="AI17" t="s">
        <v>46</v>
      </c>
      <c r="AJ17" t="s">
        <v>47</v>
      </c>
      <c r="AK17" t="s">
        <v>43</v>
      </c>
      <c r="AL17" t="s">
        <v>44</v>
      </c>
      <c r="AM17" t="s">
        <v>45</v>
      </c>
      <c r="AN17" t="s">
        <v>41</v>
      </c>
    </row>
    <row r="18" spans="1:40" x14ac:dyDescent="0.25">
      <c r="A18">
        <v>2</v>
      </c>
      <c r="B18">
        <v>3345</v>
      </c>
      <c r="C18" t="s">
        <v>147</v>
      </c>
      <c r="D18">
        <v>2</v>
      </c>
      <c r="E18">
        <v>93859</v>
      </c>
      <c r="F18">
        <v>0</v>
      </c>
      <c r="G18">
        <v>1</v>
      </c>
      <c r="H18">
        <v>5</v>
      </c>
      <c r="I18">
        <v>50</v>
      </c>
      <c r="J18">
        <v>514</v>
      </c>
      <c r="K18">
        <v>4</v>
      </c>
      <c r="L18">
        <v>0</v>
      </c>
      <c r="M18">
        <v>237</v>
      </c>
      <c r="N18" t="s">
        <v>38</v>
      </c>
      <c r="O18">
        <v>-7</v>
      </c>
      <c r="P18" s="1">
        <v>46121</v>
      </c>
      <c r="Q18" s="1">
        <v>46122</v>
      </c>
      <c r="R18" s="1">
        <v>46129</v>
      </c>
      <c r="S18">
        <v>949.69</v>
      </c>
      <c r="T18">
        <v>949.69</v>
      </c>
      <c r="U18">
        <v>1007.29</v>
      </c>
      <c r="V18">
        <v>3612008950</v>
      </c>
      <c r="W18">
        <v>9</v>
      </c>
      <c r="X18" t="s">
        <v>127</v>
      </c>
      <c r="Y18" t="s">
        <v>39</v>
      </c>
      <c r="Z18">
        <v>0</v>
      </c>
      <c r="AA18">
        <v>75</v>
      </c>
      <c r="AB18">
        <v>4</v>
      </c>
      <c r="AC18" t="s">
        <v>40</v>
      </c>
      <c r="AD18">
        <v>4</v>
      </c>
      <c r="AE18" t="s">
        <v>41</v>
      </c>
      <c r="AF18" t="s">
        <v>41</v>
      </c>
      <c r="AG18" t="s">
        <v>23</v>
      </c>
      <c r="AH18" t="s">
        <v>42</v>
      </c>
      <c r="AI18" t="s">
        <v>46</v>
      </c>
      <c r="AJ18" t="s">
        <v>47</v>
      </c>
      <c r="AK18" t="s">
        <v>43</v>
      </c>
      <c r="AL18" t="s">
        <v>44</v>
      </c>
      <c r="AM18" t="s">
        <v>45</v>
      </c>
      <c r="AN18" t="s">
        <v>41</v>
      </c>
    </row>
    <row r="19" spans="1:40" x14ac:dyDescent="0.25">
      <c r="A19">
        <v>2</v>
      </c>
      <c r="B19">
        <v>3994</v>
      </c>
      <c r="C19" t="s">
        <v>149</v>
      </c>
      <c r="D19">
        <v>2</v>
      </c>
      <c r="E19">
        <v>93940</v>
      </c>
      <c r="F19">
        <v>0</v>
      </c>
      <c r="G19">
        <v>1</v>
      </c>
      <c r="H19">
        <v>1</v>
      </c>
      <c r="I19">
        <v>10</v>
      </c>
      <c r="J19">
        <v>104</v>
      </c>
      <c r="K19">
        <v>4</v>
      </c>
      <c r="L19">
        <v>0</v>
      </c>
      <c r="M19">
        <v>237</v>
      </c>
      <c r="N19" t="s">
        <v>38</v>
      </c>
      <c r="O19">
        <v>-7</v>
      </c>
      <c r="P19" s="1">
        <v>46121</v>
      </c>
      <c r="Q19" s="1">
        <v>46122</v>
      </c>
      <c r="R19" s="1">
        <v>46129</v>
      </c>
      <c r="S19">
        <v>966.94</v>
      </c>
      <c r="T19">
        <v>966.94</v>
      </c>
      <c r="U19">
        <v>1025.5999999999999</v>
      </c>
      <c r="V19">
        <v>3612008965</v>
      </c>
      <c r="W19">
        <v>7</v>
      </c>
      <c r="X19" t="s">
        <v>127</v>
      </c>
      <c r="Y19" t="s">
        <v>39</v>
      </c>
      <c r="Z19">
        <v>0</v>
      </c>
      <c r="AA19">
        <v>75</v>
      </c>
      <c r="AB19">
        <v>4</v>
      </c>
      <c r="AC19" t="s">
        <v>40</v>
      </c>
      <c r="AD19">
        <v>4</v>
      </c>
      <c r="AE19" t="s">
        <v>41</v>
      </c>
      <c r="AF19" t="s">
        <v>41</v>
      </c>
      <c r="AG19" t="s">
        <v>23</v>
      </c>
      <c r="AH19" t="s">
        <v>42</v>
      </c>
      <c r="AI19" t="s">
        <v>46</v>
      </c>
      <c r="AJ19" t="s">
        <v>47</v>
      </c>
      <c r="AK19" t="s">
        <v>43</v>
      </c>
      <c r="AL19" t="s">
        <v>44</v>
      </c>
      <c r="AM19" t="s">
        <v>45</v>
      </c>
      <c r="AN19" t="s">
        <v>41</v>
      </c>
    </row>
    <row r="20" spans="1:40" x14ac:dyDescent="0.25">
      <c r="A20">
        <v>2</v>
      </c>
      <c r="B20">
        <v>427</v>
      </c>
      <c r="C20" t="s">
        <v>79</v>
      </c>
      <c r="D20">
        <v>2</v>
      </c>
      <c r="E20">
        <v>94094</v>
      </c>
      <c r="F20">
        <v>0</v>
      </c>
      <c r="G20">
        <v>1</v>
      </c>
      <c r="H20">
        <v>5</v>
      </c>
      <c r="I20">
        <v>50</v>
      </c>
      <c r="J20">
        <v>515</v>
      </c>
      <c r="K20">
        <v>4</v>
      </c>
      <c r="L20">
        <v>0</v>
      </c>
      <c r="M20">
        <v>237</v>
      </c>
      <c r="N20" t="s">
        <v>38</v>
      </c>
      <c r="O20">
        <v>-4</v>
      </c>
      <c r="P20" s="1">
        <v>46122</v>
      </c>
      <c r="Q20" s="1">
        <v>46123</v>
      </c>
      <c r="R20" s="1">
        <v>46132</v>
      </c>
      <c r="S20">
        <v>3264.21</v>
      </c>
      <c r="T20">
        <v>3264.21</v>
      </c>
      <c r="U20">
        <v>3445.91</v>
      </c>
      <c r="V20">
        <v>3612008986</v>
      </c>
      <c r="W20" t="s">
        <v>80</v>
      </c>
      <c r="X20" t="s">
        <v>127</v>
      </c>
      <c r="Y20" t="s">
        <v>39</v>
      </c>
      <c r="Z20">
        <v>0</v>
      </c>
      <c r="AA20">
        <v>73</v>
      </c>
      <c r="AB20">
        <v>3</v>
      </c>
      <c r="AC20" t="s">
        <v>40</v>
      </c>
      <c r="AD20">
        <v>3</v>
      </c>
      <c r="AE20" t="s">
        <v>41</v>
      </c>
      <c r="AF20" t="s">
        <v>41</v>
      </c>
      <c r="AG20" t="s">
        <v>23</v>
      </c>
      <c r="AH20" t="s">
        <v>42</v>
      </c>
      <c r="AI20" t="s">
        <v>46</v>
      </c>
      <c r="AJ20" t="s">
        <v>47</v>
      </c>
      <c r="AK20" t="s">
        <v>43</v>
      </c>
      <c r="AL20" t="s">
        <v>44</v>
      </c>
      <c r="AM20" t="s">
        <v>45</v>
      </c>
      <c r="AN20" t="s">
        <v>41</v>
      </c>
    </row>
    <row r="21" spans="1:40" x14ac:dyDescent="0.25">
      <c r="A21">
        <v>2</v>
      </c>
      <c r="B21">
        <v>427</v>
      </c>
      <c r="C21" t="s">
        <v>79</v>
      </c>
      <c r="D21">
        <v>2</v>
      </c>
      <c r="E21">
        <v>94095</v>
      </c>
      <c r="F21">
        <v>0</v>
      </c>
      <c r="G21">
        <v>1</v>
      </c>
      <c r="H21">
        <v>5</v>
      </c>
      <c r="I21">
        <v>50</v>
      </c>
      <c r="J21">
        <v>515</v>
      </c>
      <c r="K21">
        <v>4</v>
      </c>
      <c r="L21">
        <v>0</v>
      </c>
      <c r="M21">
        <v>237</v>
      </c>
      <c r="N21" t="s">
        <v>38</v>
      </c>
      <c r="O21">
        <v>-4</v>
      </c>
      <c r="P21" s="1">
        <v>46122</v>
      </c>
      <c r="Q21" s="1">
        <v>46123</v>
      </c>
      <c r="R21" s="1">
        <v>46132</v>
      </c>
      <c r="S21">
        <v>4072.78</v>
      </c>
      <c r="T21">
        <v>4072.78</v>
      </c>
      <c r="U21">
        <v>4299.49</v>
      </c>
      <c r="V21">
        <v>3612008987</v>
      </c>
      <c r="W21">
        <v>8</v>
      </c>
      <c r="X21" t="s">
        <v>127</v>
      </c>
      <c r="Y21" t="s">
        <v>39</v>
      </c>
      <c r="Z21">
        <v>0</v>
      </c>
      <c r="AA21">
        <v>73</v>
      </c>
      <c r="AB21">
        <v>3</v>
      </c>
      <c r="AC21" t="s">
        <v>40</v>
      </c>
      <c r="AD21">
        <v>3</v>
      </c>
      <c r="AE21" t="s">
        <v>41</v>
      </c>
      <c r="AF21" t="s">
        <v>41</v>
      </c>
      <c r="AG21" t="s">
        <v>23</v>
      </c>
      <c r="AH21" t="s">
        <v>42</v>
      </c>
      <c r="AI21" t="s">
        <v>46</v>
      </c>
      <c r="AJ21" t="s">
        <v>47</v>
      </c>
      <c r="AK21" t="s">
        <v>43</v>
      </c>
      <c r="AL21" t="s">
        <v>44</v>
      </c>
      <c r="AM21" t="s">
        <v>45</v>
      </c>
      <c r="AN21" t="s">
        <v>41</v>
      </c>
    </row>
    <row r="22" spans="1:40" x14ac:dyDescent="0.25">
      <c r="A22">
        <v>2</v>
      </c>
      <c r="B22">
        <v>3405</v>
      </c>
      <c r="C22" t="s">
        <v>155</v>
      </c>
      <c r="D22">
        <v>2</v>
      </c>
      <c r="E22">
        <v>94106</v>
      </c>
      <c r="F22">
        <v>0</v>
      </c>
      <c r="G22">
        <v>1</v>
      </c>
      <c r="H22">
        <v>5</v>
      </c>
      <c r="I22">
        <v>50</v>
      </c>
      <c r="J22">
        <v>511</v>
      </c>
      <c r="K22">
        <v>4</v>
      </c>
      <c r="L22">
        <v>0</v>
      </c>
      <c r="M22">
        <v>237</v>
      </c>
      <c r="N22" t="s">
        <v>38</v>
      </c>
      <c r="O22">
        <v>-4</v>
      </c>
      <c r="P22" s="1">
        <v>46122</v>
      </c>
      <c r="Q22" s="1">
        <v>46123</v>
      </c>
      <c r="R22" s="1">
        <v>46132</v>
      </c>
      <c r="S22">
        <v>663.4</v>
      </c>
      <c r="T22">
        <v>663.4</v>
      </c>
      <c r="U22">
        <v>700.32</v>
      </c>
      <c r="V22">
        <v>3612008990</v>
      </c>
      <c r="W22">
        <v>8</v>
      </c>
      <c r="X22" t="s">
        <v>127</v>
      </c>
      <c r="Y22" t="s">
        <v>39</v>
      </c>
      <c r="Z22">
        <v>0</v>
      </c>
      <c r="AA22">
        <v>73</v>
      </c>
      <c r="AB22">
        <v>4</v>
      </c>
      <c r="AC22" t="s">
        <v>40</v>
      </c>
      <c r="AD22">
        <v>4</v>
      </c>
      <c r="AE22" t="s">
        <v>41</v>
      </c>
      <c r="AF22" t="s">
        <v>41</v>
      </c>
      <c r="AG22" t="s">
        <v>23</v>
      </c>
      <c r="AH22" t="s">
        <v>42</v>
      </c>
      <c r="AI22" t="s">
        <v>46</v>
      </c>
      <c r="AJ22" t="s">
        <v>47</v>
      </c>
      <c r="AK22" t="s">
        <v>43</v>
      </c>
      <c r="AL22" t="s">
        <v>44</v>
      </c>
      <c r="AM22" t="s">
        <v>45</v>
      </c>
      <c r="AN22" t="s">
        <v>41</v>
      </c>
    </row>
    <row r="23" spans="1:40" x14ac:dyDescent="0.25">
      <c r="A23">
        <v>2</v>
      </c>
      <c r="B23">
        <v>3416</v>
      </c>
      <c r="C23" t="s">
        <v>156</v>
      </c>
      <c r="D23">
        <v>2</v>
      </c>
      <c r="E23">
        <v>94145</v>
      </c>
      <c r="F23">
        <v>0</v>
      </c>
      <c r="G23">
        <v>1</v>
      </c>
      <c r="H23">
        <v>1</v>
      </c>
      <c r="I23">
        <v>10</v>
      </c>
      <c r="J23">
        <v>104</v>
      </c>
      <c r="K23">
        <v>4</v>
      </c>
      <c r="L23">
        <v>0</v>
      </c>
      <c r="M23">
        <v>237</v>
      </c>
      <c r="N23" t="s">
        <v>38</v>
      </c>
      <c r="O23">
        <v>-4</v>
      </c>
      <c r="P23" s="1">
        <v>46122</v>
      </c>
      <c r="Q23" s="1">
        <v>46123</v>
      </c>
      <c r="R23" s="1">
        <v>46132</v>
      </c>
      <c r="S23">
        <v>304.93</v>
      </c>
      <c r="T23">
        <v>304.93</v>
      </c>
      <c r="U23">
        <v>321.89999999999998</v>
      </c>
      <c r="V23">
        <v>3612009001</v>
      </c>
      <c r="W23">
        <v>9</v>
      </c>
      <c r="X23" t="s">
        <v>127</v>
      </c>
      <c r="Y23" t="s">
        <v>39</v>
      </c>
      <c r="Z23">
        <v>0</v>
      </c>
      <c r="AA23">
        <v>75</v>
      </c>
      <c r="AB23">
        <v>5</v>
      </c>
      <c r="AC23" t="s">
        <v>40</v>
      </c>
      <c r="AD23">
        <v>5</v>
      </c>
      <c r="AE23" t="s">
        <v>41</v>
      </c>
      <c r="AF23" t="s">
        <v>41</v>
      </c>
      <c r="AG23" t="s">
        <v>23</v>
      </c>
      <c r="AH23" t="s">
        <v>42</v>
      </c>
      <c r="AI23" t="s">
        <v>46</v>
      </c>
      <c r="AJ23" t="s">
        <v>47</v>
      </c>
      <c r="AK23" t="s">
        <v>43</v>
      </c>
      <c r="AL23" t="s">
        <v>44</v>
      </c>
      <c r="AM23" t="s">
        <v>45</v>
      </c>
      <c r="AN23" t="s">
        <v>41</v>
      </c>
    </row>
    <row r="24" spans="1:40" x14ac:dyDescent="0.25">
      <c r="A24">
        <v>2</v>
      </c>
      <c r="B24">
        <v>265</v>
      </c>
      <c r="C24" t="s">
        <v>175</v>
      </c>
      <c r="D24">
        <v>2</v>
      </c>
      <c r="E24">
        <v>95102</v>
      </c>
      <c r="F24">
        <v>0</v>
      </c>
      <c r="G24">
        <v>1</v>
      </c>
      <c r="H24">
        <v>1</v>
      </c>
      <c r="I24">
        <v>10</v>
      </c>
      <c r="J24">
        <v>103</v>
      </c>
      <c r="K24">
        <v>4</v>
      </c>
      <c r="L24">
        <v>0</v>
      </c>
      <c r="M24">
        <v>237</v>
      </c>
      <c r="N24" t="s">
        <v>38</v>
      </c>
      <c r="O24">
        <v>-2</v>
      </c>
      <c r="P24" s="1">
        <v>46127</v>
      </c>
      <c r="Q24" s="1">
        <v>46128</v>
      </c>
      <c r="R24" s="1">
        <v>46134</v>
      </c>
      <c r="S24">
        <v>1663.39</v>
      </c>
      <c r="T24">
        <v>1663.39</v>
      </c>
      <c r="U24">
        <v>1750.43</v>
      </c>
      <c r="V24">
        <v>3612009147</v>
      </c>
      <c r="W24">
        <v>3</v>
      </c>
      <c r="X24" t="s">
        <v>127</v>
      </c>
      <c r="Y24" t="s">
        <v>39</v>
      </c>
      <c r="Z24">
        <v>0</v>
      </c>
      <c r="AA24">
        <v>73</v>
      </c>
      <c r="AB24">
        <v>3</v>
      </c>
      <c r="AC24" t="s">
        <v>40</v>
      </c>
      <c r="AD24">
        <v>3</v>
      </c>
      <c r="AE24" t="s">
        <v>41</v>
      </c>
      <c r="AF24" t="s">
        <v>41</v>
      </c>
      <c r="AG24" t="s">
        <v>23</v>
      </c>
      <c r="AH24" t="s">
        <v>42</v>
      </c>
      <c r="AI24" t="s">
        <v>46</v>
      </c>
      <c r="AJ24" t="s">
        <v>47</v>
      </c>
      <c r="AK24" t="s">
        <v>43</v>
      </c>
      <c r="AL24" t="s">
        <v>44</v>
      </c>
      <c r="AM24" t="s">
        <v>45</v>
      </c>
      <c r="AN24" t="s">
        <v>41</v>
      </c>
    </row>
    <row r="25" spans="1:40" x14ac:dyDescent="0.25">
      <c r="A25">
        <v>2</v>
      </c>
      <c r="B25">
        <v>1103</v>
      </c>
      <c r="C25" t="s">
        <v>169</v>
      </c>
      <c r="D25">
        <v>2</v>
      </c>
      <c r="E25">
        <v>94719</v>
      </c>
      <c r="F25">
        <v>0</v>
      </c>
      <c r="G25">
        <v>1</v>
      </c>
      <c r="H25">
        <v>5</v>
      </c>
      <c r="I25">
        <v>50</v>
      </c>
      <c r="J25">
        <v>514</v>
      </c>
      <c r="K25">
        <v>4</v>
      </c>
      <c r="L25">
        <v>0</v>
      </c>
      <c r="M25">
        <v>237</v>
      </c>
      <c r="N25" t="s">
        <v>38</v>
      </c>
      <c r="O25">
        <v>-2</v>
      </c>
      <c r="P25" s="1">
        <v>46126</v>
      </c>
      <c r="Q25" s="1">
        <v>46127</v>
      </c>
      <c r="R25" s="1">
        <v>46134</v>
      </c>
      <c r="S25">
        <v>787.96</v>
      </c>
      <c r="T25">
        <v>787.96</v>
      </c>
      <c r="U25">
        <v>829.19</v>
      </c>
      <c r="V25">
        <v>3612009065</v>
      </c>
      <c r="W25">
        <v>5</v>
      </c>
      <c r="X25" t="s">
        <v>127</v>
      </c>
      <c r="Y25" t="s">
        <v>39</v>
      </c>
      <c r="Z25">
        <v>0</v>
      </c>
      <c r="AA25">
        <v>75</v>
      </c>
      <c r="AB25">
        <v>4</v>
      </c>
      <c r="AC25" t="s">
        <v>40</v>
      </c>
      <c r="AD25">
        <v>4</v>
      </c>
      <c r="AE25" t="s">
        <v>41</v>
      </c>
      <c r="AF25" t="s">
        <v>41</v>
      </c>
      <c r="AG25" t="s">
        <v>23</v>
      </c>
      <c r="AH25" t="s">
        <v>42</v>
      </c>
      <c r="AI25" t="s">
        <v>46</v>
      </c>
      <c r="AJ25" t="s">
        <v>47</v>
      </c>
      <c r="AK25" t="s">
        <v>43</v>
      </c>
      <c r="AL25" t="s">
        <v>44</v>
      </c>
      <c r="AM25" t="s">
        <v>45</v>
      </c>
      <c r="AN25" t="s">
        <v>41</v>
      </c>
    </row>
    <row r="26" spans="1:40" x14ac:dyDescent="0.25">
      <c r="A26">
        <v>2</v>
      </c>
      <c r="B26">
        <v>4006</v>
      </c>
      <c r="C26" t="s">
        <v>126</v>
      </c>
      <c r="D26">
        <v>2</v>
      </c>
      <c r="E26">
        <v>94815</v>
      </c>
      <c r="F26">
        <v>0</v>
      </c>
      <c r="G26">
        <v>1</v>
      </c>
      <c r="H26">
        <v>5</v>
      </c>
      <c r="I26">
        <v>50</v>
      </c>
      <c r="J26">
        <v>512</v>
      </c>
      <c r="K26">
        <v>4</v>
      </c>
      <c r="L26">
        <v>0</v>
      </c>
      <c r="M26">
        <v>237</v>
      </c>
      <c r="N26" t="s">
        <v>38</v>
      </c>
      <c r="O26">
        <v>-2</v>
      </c>
      <c r="P26" s="1">
        <v>46126</v>
      </c>
      <c r="Q26" s="1">
        <v>46127</v>
      </c>
      <c r="R26" s="1">
        <v>46134</v>
      </c>
      <c r="S26">
        <v>327</v>
      </c>
      <c r="T26">
        <v>327</v>
      </c>
      <c r="U26">
        <v>344.1</v>
      </c>
      <c r="V26">
        <v>3612009091</v>
      </c>
      <c r="W26">
        <v>4</v>
      </c>
      <c r="X26" t="s">
        <v>127</v>
      </c>
      <c r="Y26" t="s">
        <v>39</v>
      </c>
      <c r="Z26">
        <v>0</v>
      </c>
      <c r="AA26">
        <v>73</v>
      </c>
      <c r="AB26">
        <v>4</v>
      </c>
      <c r="AC26" t="s">
        <v>40</v>
      </c>
      <c r="AD26">
        <v>4</v>
      </c>
      <c r="AE26" t="s">
        <v>41</v>
      </c>
      <c r="AF26" t="s">
        <v>41</v>
      </c>
      <c r="AG26" t="s">
        <v>23</v>
      </c>
      <c r="AH26" t="s">
        <v>42</v>
      </c>
      <c r="AI26" t="s">
        <v>46</v>
      </c>
      <c r="AJ26" t="s">
        <v>47</v>
      </c>
      <c r="AK26" t="s">
        <v>43</v>
      </c>
      <c r="AL26" t="s">
        <v>44</v>
      </c>
      <c r="AM26" t="s">
        <v>45</v>
      </c>
      <c r="AN26" t="s">
        <v>41</v>
      </c>
    </row>
    <row r="27" spans="1:40" x14ac:dyDescent="0.25">
      <c r="A27">
        <v>2</v>
      </c>
      <c r="B27">
        <v>4024</v>
      </c>
      <c r="C27" t="s">
        <v>166</v>
      </c>
      <c r="D27">
        <v>2</v>
      </c>
      <c r="E27">
        <v>94702</v>
      </c>
      <c r="F27">
        <v>0</v>
      </c>
      <c r="G27">
        <v>1</v>
      </c>
      <c r="H27">
        <v>1</v>
      </c>
      <c r="I27">
        <v>10</v>
      </c>
      <c r="J27">
        <v>102</v>
      </c>
      <c r="K27">
        <v>4</v>
      </c>
      <c r="L27">
        <v>0</v>
      </c>
      <c r="M27">
        <v>237</v>
      </c>
      <c r="N27" t="s">
        <v>38</v>
      </c>
      <c r="O27">
        <v>-2</v>
      </c>
      <c r="P27" s="1">
        <v>46125</v>
      </c>
      <c r="Q27" s="1">
        <v>46126</v>
      </c>
      <c r="R27" s="1">
        <v>46134</v>
      </c>
      <c r="S27">
        <v>308.33</v>
      </c>
      <c r="T27">
        <v>308.33</v>
      </c>
      <c r="U27">
        <v>324.45</v>
      </c>
      <c r="V27">
        <v>3612009059</v>
      </c>
      <c r="W27">
        <v>0</v>
      </c>
      <c r="X27" t="s">
        <v>127</v>
      </c>
      <c r="Y27" t="s">
        <v>39</v>
      </c>
      <c r="Z27">
        <v>0</v>
      </c>
      <c r="AA27">
        <v>73</v>
      </c>
      <c r="AB27">
        <v>5</v>
      </c>
      <c r="AC27" t="s">
        <v>40</v>
      </c>
      <c r="AD27">
        <v>5</v>
      </c>
      <c r="AE27" t="s">
        <v>41</v>
      </c>
      <c r="AF27" t="s">
        <v>41</v>
      </c>
      <c r="AG27" t="s">
        <v>23</v>
      </c>
      <c r="AH27" t="s">
        <v>42</v>
      </c>
      <c r="AI27" t="s">
        <v>46</v>
      </c>
      <c r="AJ27" t="s">
        <v>47</v>
      </c>
      <c r="AK27" t="s">
        <v>43</v>
      </c>
      <c r="AL27" t="s">
        <v>44</v>
      </c>
      <c r="AM27" t="s">
        <v>45</v>
      </c>
      <c r="AN27" t="s">
        <v>41</v>
      </c>
    </row>
    <row r="28" spans="1:40" x14ac:dyDescent="0.25">
      <c r="A28">
        <v>2</v>
      </c>
      <c r="B28">
        <v>895</v>
      </c>
      <c r="C28" t="s">
        <v>142</v>
      </c>
      <c r="D28">
        <v>2</v>
      </c>
      <c r="E28">
        <v>95003</v>
      </c>
      <c r="F28">
        <v>0</v>
      </c>
      <c r="G28">
        <v>1</v>
      </c>
      <c r="H28">
        <v>5</v>
      </c>
      <c r="I28">
        <v>50</v>
      </c>
      <c r="J28">
        <v>514</v>
      </c>
      <c r="K28">
        <v>4</v>
      </c>
      <c r="L28">
        <v>0</v>
      </c>
      <c r="M28">
        <v>237</v>
      </c>
      <c r="N28" t="s">
        <v>38</v>
      </c>
      <c r="O28">
        <v>-1</v>
      </c>
      <c r="P28" s="1">
        <v>46127</v>
      </c>
      <c r="Q28" s="1">
        <v>46128</v>
      </c>
      <c r="R28" s="1">
        <v>46135</v>
      </c>
      <c r="S28">
        <v>320.16000000000003</v>
      </c>
      <c r="T28">
        <v>320.16000000000003</v>
      </c>
      <c r="U28">
        <v>336.37</v>
      </c>
      <c r="V28">
        <v>3612009125</v>
      </c>
      <c r="W28">
        <v>2</v>
      </c>
      <c r="X28" t="s">
        <v>127</v>
      </c>
      <c r="Y28" t="s">
        <v>39</v>
      </c>
      <c r="Z28">
        <v>0</v>
      </c>
      <c r="AA28">
        <v>75</v>
      </c>
      <c r="AB28">
        <v>4</v>
      </c>
      <c r="AC28" t="s">
        <v>40</v>
      </c>
      <c r="AD28">
        <v>4</v>
      </c>
      <c r="AE28" t="s">
        <v>41</v>
      </c>
      <c r="AF28" t="s">
        <v>41</v>
      </c>
      <c r="AG28" t="s">
        <v>23</v>
      </c>
      <c r="AH28" t="s">
        <v>42</v>
      </c>
      <c r="AI28" t="s">
        <v>46</v>
      </c>
      <c r="AJ28" t="s">
        <v>47</v>
      </c>
      <c r="AK28" t="s">
        <v>43</v>
      </c>
      <c r="AL28" t="s">
        <v>44</v>
      </c>
      <c r="AM28" t="s">
        <v>45</v>
      </c>
      <c r="AN28" t="s">
        <v>41</v>
      </c>
    </row>
    <row r="29" spans="1:40" x14ac:dyDescent="0.25">
      <c r="A29">
        <v>2</v>
      </c>
      <c r="B29">
        <v>2681</v>
      </c>
      <c r="C29" t="s">
        <v>174</v>
      </c>
      <c r="D29">
        <v>2</v>
      </c>
      <c r="E29">
        <v>95028</v>
      </c>
      <c r="F29">
        <v>0</v>
      </c>
      <c r="G29">
        <v>1</v>
      </c>
      <c r="H29">
        <v>5</v>
      </c>
      <c r="I29">
        <v>50</v>
      </c>
      <c r="J29">
        <v>512</v>
      </c>
      <c r="K29">
        <v>4</v>
      </c>
      <c r="L29">
        <v>0</v>
      </c>
      <c r="M29">
        <v>237</v>
      </c>
      <c r="N29" t="s">
        <v>38</v>
      </c>
      <c r="O29">
        <v>-1</v>
      </c>
      <c r="P29" s="1">
        <v>46127</v>
      </c>
      <c r="Q29" s="1">
        <v>46128</v>
      </c>
      <c r="R29" s="1">
        <v>46135</v>
      </c>
      <c r="S29">
        <v>451.21</v>
      </c>
      <c r="T29">
        <v>451.21</v>
      </c>
      <c r="U29">
        <v>474.06</v>
      </c>
      <c r="V29">
        <v>3612009131</v>
      </c>
      <c r="W29">
        <v>7</v>
      </c>
      <c r="X29" t="s">
        <v>127</v>
      </c>
      <c r="Y29" t="s">
        <v>39</v>
      </c>
      <c r="Z29">
        <v>0</v>
      </c>
      <c r="AA29">
        <v>75</v>
      </c>
      <c r="AB29">
        <v>3</v>
      </c>
      <c r="AC29" t="s">
        <v>40</v>
      </c>
      <c r="AD29">
        <v>3</v>
      </c>
      <c r="AE29" t="s">
        <v>41</v>
      </c>
      <c r="AF29" t="s">
        <v>41</v>
      </c>
      <c r="AG29" t="s">
        <v>23</v>
      </c>
      <c r="AH29" t="s">
        <v>42</v>
      </c>
      <c r="AI29" t="s">
        <v>46</v>
      </c>
      <c r="AJ29" t="s">
        <v>47</v>
      </c>
      <c r="AK29" t="s">
        <v>43</v>
      </c>
      <c r="AL29" t="s">
        <v>44</v>
      </c>
      <c r="AM29" t="s">
        <v>45</v>
      </c>
      <c r="AN29" t="s">
        <v>41</v>
      </c>
    </row>
    <row r="30" spans="1:40" x14ac:dyDescent="0.25">
      <c r="A30">
        <v>2</v>
      </c>
      <c r="B30">
        <v>3459</v>
      </c>
      <c r="C30" t="s">
        <v>176</v>
      </c>
      <c r="D30">
        <v>2</v>
      </c>
      <c r="E30">
        <v>95096</v>
      </c>
      <c r="F30">
        <v>0</v>
      </c>
      <c r="G30">
        <v>1</v>
      </c>
      <c r="H30">
        <v>1</v>
      </c>
      <c r="I30">
        <v>10</v>
      </c>
      <c r="J30">
        <v>104</v>
      </c>
      <c r="K30">
        <v>4</v>
      </c>
      <c r="L30">
        <v>0</v>
      </c>
      <c r="M30">
        <v>237</v>
      </c>
      <c r="N30" t="s">
        <v>38</v>
      </c>
      <c r="O30">
        <v>-1</v>
      </c>
      <c r="P30" s="1">
        <v>46127</v>
      </c>
      <c r="Q30" s="1">
        <v>46128</v>
      </c>
      <c r="R30" s="1">
        <v>46135</v>
      </c>
      <c r="S30">
        <v>336.22</v>
      </c>
      <c r="T30">
        <v>336.22</v>
      </c>
      <c r="U30">
        <v>353.25</v>
      </c>
      <c r="V30">
        <v>3612009142</v>
      </c>
      <c r="W30">
        <v>2</v>
      </c>
      <c r="X30" t="s">
        <v>127</v>
      </c>
      <c r="Y30" t="s">
        <v>39</v>
      </c>
      <c r="Z30">
        <v>0</v>
      </c>
      <c r="AA30">
        <v>73</v>
      </c>
      <c r="AB30">
        <v>5</v>
      </c>
      <c r="AC30" t="s">
        <v>40</v>
      </c>
      <c r="AD30">
        <v>5</v>
      </c>
      <c r="AE30" t="s">
        <v>41</v>
      </c>
      <c r="AF30" t="s">
        <v>41</v>
      </c>
      <c r="AG30" t="s">
        <v>23</v>
      </c>
      <c r="AH30" t="s">
        <v>42</v>
      </c>
      <c r="AI30" t="s">
        <v>46</v>
      </c>
      <c r="AJ30" t="s">
        <v>47</v>
      </c>
      <c r="AK30" t="s">
        <v>43</v>
      </c>
      <c r="AL30" t="s">
        <v>44</v>
      </c>
      <c r="AM30" t="s">
        <v>45</v>
      </c>
      <c r="AN30" t="s">
        <v>41</v>
      </c>
    </row>
    <row r="31" spans="1:40" x14ac:dyDescent="0.25">
      <c r="A31">
        <v>2</v>
      </c>
      <c r="B31">
        <v>222</v>
      </c>
      <c r="C31" t="s">
        <v>199</v>
      </c>
      <c r="D31">
        <v>2</v>
      </c>
      <c r="E31">
        <v>96037</v>
      </c>
      <c r="F31">
        <v>0</v>
      </c>
      <c r="G31">
        <v>1</v>
      </c>
      <c r="H31">
        <v>1</v>
      </c>
      <c r="I31">
        <v>10</v>
      </c>
      <c r="J31">
        <v>102</v>
      </c>
      <c r="K31">
        <v>4</v>
      </c>
      <c r="L31">
        <v>0</v>
      </c>
      <c r="M31">
        <v>237</v>
      </c>
      <c r="N31" t="s">
        <v>38</v>
      </c>
      <c r="O31">
        <v>0</v>
      </c>
      <c r="P31" s="1">
        <v>46132</v>
      </c>
      <c r="Q31" s="1">
        <v>46134</v>
      </c>
      <c r="R31" s="1">
        <v>46136</v>
      </c>
      <c r="S31">
        <v>343.45</v>
      </c>
      <c r="T31">
        <v>343.45</v>
      </c>
      <c r="U31">
        <v>343.45</v>
      </c>
      <c r="V31">
        <v>3612009270</v>
      </c>
      <c r="W31">
        <v>4</v>
      </c>
      <c r="X31" t="s">
        <v>23</v>
      </c>
      <c r="Y31" t="s">
        <v>39</v>
      </c>
      <c r="Z31">
        <v>0</v>
      </c>
      <c r="AA31">
        <v>75</v>
      </c>
      <c r="AB31">
        <v>5</v>
      </c>
      <c r="AC31" t="s">
        <v>40</v>
      </c>
      <c r="AD31">
        <v>5</v>
      </c>
      <c r="AE31" t="s">
        <v>41</v>
      </c>
      <c r="AF31" t="s">
        <v>41</v>
      </c>
      <c r="AG31" t="s">
        <v>23</v>
      </c>
      <c r="AH31" t="s">
        <v>42</v>
      </c>
      <c r="AI31" t="s">
        <v>46</v>
      </c>
      <c r="AJ31" t="s">
        <v>47</v>
      </c>
      <c r="AK31" t="s">
        <v>43</v>
      </c>
      <c r="AL31" t="s">
        <v>44</v>
      </c>
      <c r="AM31" t="s">
        <v>45</v>
      </c>
      <c r="AN31" t="s">
        <v>41</v>
      </c>
    </row>
    <row r="32" spans="1:40" x14ac:dyDescent="0.25">
      <c r="A32">
        <v>2</v>
      </c>
      <c r="B32">
        <v>379</v>
      </c>
      <c r="C32" t="s">
        <v>128</v>
      </c>
      <c r="D32">
        <v>2</v>
      </c>
      <c r="E32">
        <v>95374</v>
      </c>
      <c r="F32">
        <v>0</v>
      </c>
      <c r="G32">
        <v>1</v>
      </c>
      <c r="H32">
        <v>1</v>
      </c>
      <c r="I32">
        <v>10</v>
      </c>
      <c r="J32">
        <v>103</v>
      </c>
      <c r="K32">
        <v>4</v>
      </c>
      <c r="L32">
        <v>0</v>
      </c>
      <c r="M32">
        <v>237</v>
      </c>
      <c r="N32" t="s">
        <v>38</v>
      </c>
      <c r="O32">
        <v>0</v>
      </c>
      <c r="P32" s="1">
        <v>46128</v>
      </c>
      <c r="Q32" s="1">
        <v>46129</v>
      </c>
      <c r="R32" s="1">
        <v>46136</v>
      </c>
      <c r="S32">
        <v>2870.98</v>
      </c>
      <c r="T32">
        <v>2870.98</v>
      </c>
      <c r="U32">
        <v>2870.98</v>
      </c>
      <c r="V32">
        <v>3612009185</v>
      </c>
      <c r="W32">
        <v>6</v>
      </c>
      <c r="X32" t="s">
        <v>23</v>
      </c>
      <c r="Y32" t="s">
        <v>39</v>
      </c>
      <c r="Z32">
        <v>0</v>
      </c>
      <c r="AA32">
        <v>73</v>
      </c>
      <c r="AB32">
        <v>6</v>
      </c>
      <c r="AC32" t="s">
        <v>40</v>
      </c>
      <c r="AD32">
        <v>6</v>
      </c>
      <c r="AE32" t="s">
        <v>41</v>
      </c>
      <c r="AF32" t="s">
        <v>41</v>
      </c>
      <c r="AG32" t="s">
        <v>23</v>
      </c>
      <c r="AH32" t="s">
        <v>42</v>
      </c>
      <c r="AI32" t="s">
        <v>46</v>
      </c>
      <c r="AJ32" t="s">
        <v>47</v>
      </c>
      <c r="AK32" t="s">
        <v>43</v>
      </c>
      <c r="AL32" t="s">
        <v>44</v>
      </c>
      <c r="AM32" t="s">
        <v>45</v>
      </c>
      <c r="AN32" t="s">
        <v>41</v>
      </c>
    </row>
    <row r="33" spans="1:40" x14ac:dyDescent="0.25">
      <c r="A33">
        <v>2</v>
      </c>
      <c r="B33">
        <v>876</v>
      </c>
      <c r="C33" t="s">
        <v>177</v>
      </c>
      <c r="D33">
        <v>2</v>
      </c>
      <c r="E33">
        <v>95264</v>
      </c>
      <c r="F33">
        <v>0</v>
      </c>
      <c r="G33">
        <v>1</v>
      </c>
      <c r="H33">
        <v>5</v>
      </c>
      <c r="I33">
        <v>50</v>
      </c>
      <c r="J33">
        <v>515</v>
      </c>
      <c r="K33">
        <v>4</v>
      </c>
      <c r="L33">
        <v>0</v>
      </c>
      <c r="M33">
        <v>237</v>
      </c>
      <c r="N33" t="s">
        <v>38</v>
      </c>
      <c r="O33">
        <v>0</v>
      </c>
      <c r="P33" s="1">
        <v>46128</v>
      </c>
      <c r="Q33" s="1">
        <v>46129</v>
      </c>
      <c r="R33" s="1">
        <v>46136</v>
      </c>
      <c r="S33">
        <v>780.08</v>
      </c>
      <c r="T33">
        <v>780.08</v>
      </c>
      <c r="U33">
        <v>780.08</v>
      </c>
      <c r="V33">
        <v>3612009162</v>
      </c>
      <c r="W33">
        <v>7</v>
      </c>
      <c r="X33" t="s">
        <v>23</v>
      </c>
      <c r="Y33" t="s">
        <v>39</v>
      </c>
      <c r="Z33">
        <v>0</v>
      </c>
      <c r="AA33">
        <v>75</v>
      </c>
      <c r="AB33">
        <v>6</v>
      </c>
      <c r="AC33" t="s">
        <v>40</v>
      </c>
      <c r="AD33">
        <v>6</v>
      </c>
      <c r="AE33" t="s">
        <v>41</v>
      </c>
      <c r="AF33" t="s">
        <v>41</v>
      </c>
      <c r="AG33" t="s">
        <v>23</v>
      </c>
      <c r="AH33" t="s">
        <v>42</v>
      </c>
      <c r="AI33" t="s">
        <v>46</v>
      </c>
      <c r="AJ33" t="s">
        <v>47</v>
      </c>
      <c r="AK33" t="s">
        <v>43</v>
      </c>
      <c r="AL33" t="s">
        <v>44</v>
      </c>
      <c r="AM33" t="s">
        <v>45</v>
      </c>
      <c r="AN33" t="s">
        <v>41</v>
      </c>
    </row>
    <row r="34" spans="1:40" x14ac:dyDescent="0.25">
      <c r="A34">
        <v>2</v>
      </c>
      <c r="B34">
        <v>925</v>
      </c>
      <c r="C34" t="s">
        <v>178</v>
      </c>
      <c r="D34">
        <v>2</v>
      </c>
      <c r="E34">
        <v>95318</v>
      </c>
      <c r="F34">
        <v>0</v>
      </c>
      <c r="G34">
        <v>1</v>
      </c>
      <c r="H34">
        <v>5</v>
      </c>
      <c r="I34">
        <v>50</v>
      </c>
      <c r="J34">
        <v>514</v>
      </c>
      <c r="K34">
        <v>4</v>
      </c>
      <c r="L34">
        <v>0</v>
      </c>
      <c r="M34">
        <v>237</v>
      </c>
      <c r="N34" t="s">
        <v>38</v>
      </c>
      <c r="O34">
        <v>0</v>
      </c>
      <c r="P34" s="1">
        <v>46128</v>
      </c>
      <c r="Q34" s="1">
        <v>46129</v>
      </c>
      <c r="R34" s="1">
        <v>46136</v>
      </c>
      <c r="S34">
        <v>206.69</v>
      </c>
      <c r="T34">
        <v>206.69</v>
      </c>
      <c r="U34">
        <v>206.69</v>
      </c>
      <c r="V34">
        <v>3612009171</v>
      </c>
      <c r="W34">
        <v>6</v>
      </c>
      <c r="X34" t="s">
        <v>23</v>
      </c>
      <c r="Y34" t="s">
        <v>39</v>
      </c>
      <c r="Z34">
        <v>0</v>
      </c>
      <c r="AA34">
        <v>75</v>
      </c>
      <c r="AB34">
        <v>3</v>
      </c>
      <c r="AC34" t="s">
        <v>40</v>
      </c>
      <c r="AD34">
        <v>3</v>
      </c>
      <c r="AE34" t="s">
        <v>41</v>
      </c>
      <c r="AF34" t="s">
        <v>41</v>
      </c>
      <c r="AG34" t="s">
        <v>23</v>
      </c>
      <c r="AH34" t="s">
        <v>42</v>
      </c>
      <c r="AI34" t="s">
        <v>46</v>
      </c>
      <c r="AJ34" t="s">
        <v>47</v>
      </c>
      <c r="AK34" t="s">
        <v>43</v>
      </c>
      <c r="AL34" t="s">
        <v>44</v>
      </c>
      <c r="AM34" t="s">
        <v>45</v>
      </c>
      <c r="AN34" t="s">
        <v>41</v>
      </c>
    </row>
    <row r="35" spans="1:40" x14ac:dyDescent="0.25">
      <c r="A35">
        <v>2</v>
      </c>
      <c r="B35">
        <v>986</v>
      </c>
      <c r="C35" t="s">
        <v>179</v>
      </c>
      <c r="D35">
        <v>2</v>
      </c>
      <c r="E35">
        <v>95308</v>
      </c>
      <c r="F35">
        <v>0</v>
      </c>
      <c r="G35">
        <v>1</v>
      </c>
      <c r="H35">
        <v>5</v>
      </c>
      <c r="I35">
        <v>50</v>
      </c>
      <c r="J35">
        <v>514</v>
      </c>
      <c r="K35">
        <v>4</v>
      </c>
      <c r="L35">
        <v>0</v>
      </c>
      <c r="M35">
        <v>237</v>
      </c>
      <c r="N35" t="s">
        <v>38</v>
      </c>
      <c r="O35">
        <v>0</v>
      </c>
      <c r="P35" s="1">
        <v>46128</v>
      </c>
      <c r="Q35" s="1">
        <v>46129</v>
      </c>
      <c r="R35" s="1">
        <v>46136</v>
      </c>
      <c r="S35">
        <v>979.32</v>
      </c>
      <c r="T35">
        <v>979.32</v>
      </c>
      <c r="U35">
        <v>979.32</v>
      </c>
      <c r="V35">
        <v>3612009169</v>
      </c>
      <c r="W35">
        <v>4</v>
      </c>
      <c r="X35" t="s">
        <v>23</v>
      </c>
      <c r="Y35" t="s">
        <v>39</v>
      </c>
      <c r="Z35">
        <v>0</v>
      </c>
      <c r="AA35">
        <v>73</v>
      </c>
      <c r="AB35">
        <v>3</v>
      </c>
      <c r="AC35" t="s">
        <v>40</v>
      </c>
      <c r="AD35">
        <v>3</v>
      </c>
      <c r="AE35" t="s">
        <v>41</v>
      </c>
      <c r="AF35" t="s">
        <v>41</v>
      </c>
      <c r="AG35" t="s">
        <v>23</v>
      </c>
      <c r="AH35" t="s">
        <v>42</v>
      </c>
      <c r="AI35" t="s">
        <v>46</v>
      </c>
      <c r="AJ35" t="s">
        <v>47</v>
      </c>
      <c r="AK35" t="s">
        <v>43</v>
      </c>
      <c r="AL35" t="s">
        <v>44</v>
      </c>
      <c r="AM35" t="s">
        <v>45</v>
      </c>
      <c r="AN35" t="s">
        <v>41</v>
      </c>
    </row>
    <row r="36" spans="1:40" x14ac:dyDescent="0.25">
      <c r="A36">
        <v>2</v>
      </c>
      <c r="B36">
        <v>2164</v>
      </c>
      <c r="C36" t="s">
        <v>144</v>
      </c>
      <c r="D36">
        <v>2</v>
      </c>
      <c r="E36">
        <v>95337</v>
      </c>
      <c r="F36">
        <v>0</v>
      </c>
      <c r="G36">
        <v>1</v>
      </c>
      <c r="H36">
        <v>1</v>
      </c>
      <c r="I36">
        <v>10</v>
      </c>
      <c r="J36">
        <v>104</v>
      </c>
      <c r="K36">
        <v>4</v>
      </c>
      <c r="L36">
        <v>0</v>
      </c>
      <c r="M36">
        <v>237</v>
      </c>
      <c r="N36" t="s">
        <v>38</v>
      </c>
      <c r="O36">
        <v>0</v>
      </c>
      <c r="P36" s="1">
        <v>46128</v>
      </c>
      <c r="Q36" s="1">
        <v>46129</v>
      </c>
      <c r="R36" s="1">
        <v>46136</v>
      </c>
      <c r="S36">
        <v>218.86</v>
      </c>
      <c r="T36">
        <v>218.86</v>
      </c>
      <c r="U36">
        <v>218.86</v>
      </c>
      <c r="V36">
        <v>3612009177</v>
      </c>
      <c r="W36">
        <v>5</v>
      </c>
      <c r="X36" t="s">
        <v>23</v>
      </c>
      <c r="Y36" t="s">
        <v>39</v>
      </c>
      <c r="Z36">
        <v>0</v>
      </c>
      <c r="AA36">
        <v>75</v>
      </c>
      <c r="AB36">
        <v>4</v>
      </c>
      <c r="AC36" t="s">
        <v>40</v>
      </c>
      <c r="AD36">
        <v>4</v>
      </c>
      <c r="AE36" t="s">
        <v>41</v>
      </c>
      <c r="AF36" t="s">
        <v>41</v>
      </c>
      <c r="AG36" t="s">
        <v>23</v>
      </c>
      <c r="AH36" t="s">
        <v>42</v>
      </c>
      <c r="AI36" t="s">
        <v>46</v>
      </c>
      <c r="AJ36" t="s">
        <v>47</v>
      </c>
      <c r="AK36" t="s">
        <v>43</v>
      </c>
      <c r="AL36" t="s">
        <v>44</v>
      </c>
      <c r="AM36" t="s">
        <v>45</v>
      </c>
      <c r="AN36" t="s">
        <v>41</v>
      </c>
    </row>
    <row r="37" spans="1:40" x14ac:dyDescent="0.25">
      <c r="A37">
        <v>2</v>
      </c>
      <c r="B37">
        <v>2164</v>
      </c>
      <c r="C37" t="s">
        <v>144</v>
      </c>
      <c r="D37">
        <v>2</v>
      </c>
      <c r="E37">
        <v>95338</v>
      </c>
      <c r="F37">
        <v>0</v>
      </c>
      <c r="G37">
        <v>1</v>
      </c>
      <c r="H37">
        <v>1</v>
      </c>
      <c r="I37">
        <v>10</v>
      </c>
      <c r="J37">
        <v>104</v>
      </c>
      <c r="K37">
        <v>4</v>
      </c>
      <c r="L37">
        <v>0</v>
      </c>
      <c r="M37">
        <v>237</v>
      </c>
      <c r="N37" t="s">
        <v>38</v>
      </c>
      <c r="O37">
        <v>0</v>
      </c>
      <c r="P37" s="1">
        <v>46128</v>
      </c>
      <c r="Q37" s="1">
        <v>46129</v>
      </c>
      <c r="R37" s="1">
        <v>46136</v>
      </c>
      <c r="S37">
        <v>33.880000000000003</v>
      </c>
      <c r="T37">
        <v>33.880000000000003</v>
      </c>
      <c r="U37">
        <v>33.880000000000003</v>
      </c>
      <c r="V37">
        <v>3612009178</v>
      </c>
      <c r="W37">
        <v>3</v>
      </c>
      <c r="X37" t="s">
        <v>23</v>
      </c>
      <c r="Y37" t="s">
        <v>39</v>
      </c>
      <c r="Z37">
        <v>0</v>
      </c>
      <c r="AA37">
        <v>75</v>
      </c>
      <c r="AB37">
        <v>4</v>
      </c>
      <c r="AC37" t="s">
        <v>40</v>
      </c>
      <c r="AD37">
        <v>4</v>
      </c>
      <c r="AE37" t="s">
        <v>41</v>
      </c>
      <c r="AF37" t="s">
        <v>41</v>
      </c>
      <c r="AG37" t="s">
        <v>23</v>
      </c>
      <c r="AH37" t="s">
        <v>42</v>
      </c>
      <c r="AI37" t="s">
        <v>46</v>
      </c>
      <c r="AJ37" t="s">
        <v>47</v>
      </c>
      <c r="AK37" t="s">
        <v>43</v>
      </c>
      <c r="AL37" t="s">
        <v>44</v>
      </c>
      <c r="AM37" t="s">
        <v>45</v>
      </c>
      <c r="AN37" t="s">
        <v>41</v>
      </c>
    </row>
    <row r="38" spans="1:40" x14ac:dyDescent="0.25">
      <c r="A38">
        <v>2</v>
      </c>
      <c r="B38">
        <v>2171</v>
      </c>
      <c r="C38" t="s">
        <v>145</v>
      </c>
      <c r="D38">
        <v>2</v>
      </c>
      <c r="E38">
        <v>95344</v>
      </c>
      <c r="F38">
        <v>0</v>
      </c>
      <c r="G38">
        <v>1</v>
      </c>
      <c r="H38">
        <v>1</v>
      </c>
      <c r="I38">
        <v>10</v>
      </c>
      <c r="J38">
        <v>104</v>
      </c>
      <c r="K38">
        <v>4</v>
      </c>
      <c r="L38">
        <v>0</v>
      </c>
      <c r="M38">
        <v>237</v>
      </c>
      <c r="N38" t="s">
        <v>38</v>
      </c>
      <c r="O38">
        <v>0</v>
      </c>
      <c r="P38" s="1">
        <v>46128</v>
      </c>
      <c r="Q38" s="1">
        <v>46129</v>
      </c>
      <c r="R38" s="1">
        <v>46136</v>
      </c>
      <c r="S38">
        <v>766.13</v>
      </c>
      <c r="T38">
        <v>766.13</v>
      </c>
      <c r="U38">
        <v>766.13</v>
      </c>
      <c r="V38">
        <v>3612009183</v>
      </c>
      <c r="W38" t="s">
        <v>80</v>
      </c>
      <c r="X38" t="s">
        <v>23</v>
      </c>
      <c r="Y38" t="s">
        <v>39</v>
      </c>
      <c r="Z38">
        <v>0</v>
      </c>
      <c r="AA38">
        <v>73</v>
      </c>
      <c r="AB38">
        <v>4</v>
      </c>
      <c r="AC38" t="s">
        <v>40</v>
      </c>
      <c r="AD38">
        <v>4</v>
      </c>
      <c r="AE38" t="s">
        <v>41</v>
      </c>
      <c r="AF38" t="s">
        <v>41</v>
      </c>
      <c r="AG38" t="s">
        <v>23</v>
      </c>
      <c r="AH38" t="s">
        <v>42</v>
      </c>
      <c r="AI38" t="s">
        <v>46</v>
      </c>
      <c r="AJ38" t="s">
        <v>47</v>
      </c>
      <c r="AK38" t="s">
        <v>43</v>
      </c>
      <c r="AL38" t="s">
        <v>44</v>
      </c>
      <c r="AM38" t="s">
        <v>45</v>
      </c>
      <c r="AN38" t="s">
        <v>41</v>
      </c>
    </row>
    <row r="39" spans="1:40" x14ac:dyDescent="0.25">
      <c r="A39">
        <v>2</v>
      </c>
      <c r="B39">
        <v>2261</v>
      </c>
      <c r="C39" t="s">
        <v>180</v>
      </c>
      <c r="D39">
        <v>2</v>
      </c>
      <c r="E39">
        <v>95330</v>
      </c>
      <c r="F39">
        <v>0</v>
      </c>
      <c r="G39">
        <v>1</v>
      </c>
      <c r="H39">
        <v>1</v>
      </c>
      <c r="I39">
        <v>10</v>
      </c>
      <c r="J39">
        <v>104</v>
      </c>
      <c r="K39">
        <v>4</v>
      </c>
      <c r="L39">
        <v>0</v>
      </c>
      <c r="M39">
        <v>237</v>
      </c>
      <c r="N39" t="s">
        <v>38</v>
      </c>
      <c r="O39">
        <v>0</v>
      </c>
      <c r="P39" s="1">
        <v>46128</v>
      </c>
      <c r="Q39" s="1">
        <v>46129</v>
      </c>
      <c r="R39" s="1">
        <v>46136</v>
      </c>
      <c r="S39">
        <v>371.03</v>
      </c>
      <c r="T39">
        <v>371.03</v>
      </c>
      <c r="U39">
        <v>371.03</v>
      </c>
      <c r="V39">
        <v>3612009174</v>
      </c>
      <c r="W39">
        <v>0</v>
      </c>
      <c r="X39" t="s">
        <v>23</v>
      </c>
      <c r="Y39" t="s">
        <v>39</v>
      </c>
      <c r="Z39">
        <v>0</v>
      </c>
      <c r="AA39">
        <v>73</v>
      </c>
      <c r="AB39">
        <v>3</v>
      </c>
      <c r="AC39" t="s">
        <v>40</v>
      </c>
      <c r="AD39">
        <v>3</v>
      </c>
      <c r="AE39" t="s">
        <v>41</v>
      </c>
      <c r="AF39" t="s">
        <v>41</v>
      </c>
      <c r="AG39" t="s">
        <v>23</v>
      </c>
      <c r="AH39" t="s">
        <v>42</v>
      </c>
      <c r="AI39" t="s">
        <v>46</v>
      </c>
      <c r="AJ39" t="s">
        <v>47</v>
      </c>
      <c r="AK39" t="s">
        <v>43</v>
      </c>
      <c r="AL39" t="s">
        <v>44</v>
      </c>
      <c r="AM39" t="s">
        <v>45</v>
      </c>
      <c r="AN39" t="s">
        <v>41</v>
      </c>
    </row>
    <row r="40" spans="1:40" x14ac:dyDescent="0.25">
      <c r="A40">
        <v>2</v>
      </c>
      <c r="B40">
        <v>2302</v>
      </c>
      <c r="C40" t="s">
        <v>181</v>
      </c>
      <c r="D40">
        <v>2</v>
      </c>
      <c r="E40">
        <v>95410</v>
      </c>
      <c r="F40">
        <v>0</v>
      </c>
      <c r="G40">
        <v>1</v>
      </c>
      <c r="H40">
        <v>1</v>
      </c>
      <c r="I40">
        <v>10</v>
      </c>
      <c r="J40">
        <v>103</v>
      </c>
      <c r="K40">
        <v>4</v>
      </c>
      <c r="L40">
        <v>0</v>
      </c>
      <c r="M40">
        <v>237</v>
      </c>
      <c r="N40" t="s">
        <v>38</v>
      </c>
      <c r="O40">
        <v>0</v>
      </c>
      <c r="P40" s="1">
        <v>46128</v>
      </c>
      <c r="Q40" s="1">
        <v>46129</v>
      </c>
      <c r="R40" s="1">
        <v>46136</v>
      </c>
      <c r="S40">
        <v>262.85000000000002</v>
      </c>
      <c r="T40">
        <v>262.85000000000002</v>
      </c>
      <c r="U40">
        <v>262.85000000000002</v>
      </c>
      <c r="V40">
        <v>3612009189</v>
      </c>
      <c r="W40">
        <v>9</v>
      </c>
      <c r="X40" t="s">
        <v>23</v>
      </c>
      <c r="Y40" t="s">
        <v>39</v>
      </c>
      <c r="Z40">
        <v>0</v>
      </c>
      <c r="AA40">
        <v>73</v>
      </c>
      <c r="AB40">
        <v>6</v>
      </c>
      <c r="AC40" t="s">
        <v>40</v>
      </c>
      <c r="AD40">
        <v>6</v>
      </c>
      <c r="AE40" t="s">
        <v>41</v>
      </c>
      <c r="AF40" t="s">
        <v>41</v>
      </c>
      <c r="AG40" t="s">
        <v>23</v>
      </c>
      <c r="AH40" t="s">
        <v>42</v>
      </c>
      <c r="AI40" t="s">
        <v>46</v>
      </c>
      <c r="AJ40" t="s">
        <v>47</v>
      </c>
      <c r="AK40" t="s">
        <v>43</v>
      </c>
      <c r="AL40" t="s">
        <v>44</v>
      </c>
      <c r="AM40" t="s">
        <v>45</v>
      </c>
      <c r="AN40" t="s">
        <v>41</v>
      </c>
    </row>
    <row r="41" spans="1:40" x14ac:dyDescent="0.25">
      <c r="A41">
        <v>2</v>
      </c>
      <c r="B41">
        <v>3118</v>
      </c>
      <c r="C41" t="s">
        <v>146</v>
      </c>
      <c r="D41">
        <v>2</v>
      </c>
      <c r="E41">
        <v>95274</v>
      </c>
      <c r="F41">
        <v>0</v>
      </c>
      <c r="G41">
        <v>1</v>
      </c>
      <c r="H41">
        <v>5</v>
      </c>
      <c r="I41">
        <v>50</v>
      </c>
      <c r="J41">
        <v>512</v>
      </c>
      <c r="K41">
        <v>4</v>
      </c>
      <c r="L41">
        <v>0</v>
      </c>
      <c r="M41">
        <v>237</v>
      </c>
      <c r="N41" t="s">
        <v>38</v>
      </c>
      <c r="O41">
        <v>0</v>
      </c>
      <c r="P41" s="1">
        <v>46128</v>
      </c>
      <c r="Q41" s="1">
        <v>46129</v>
      </c>
      <c r="R41" s="1">
        <v>46136</v>
      </c>
      <c r="S41">
        <v>158.63</v>
      </c>
      <c r="T41">
        <v>158.63</v>
      </c>
      <c r="U41">
        <v>158.63</v>
      </c>
      <c r="V41">
        <v>3612009163</v>
      </c>
      <c r="W41">
        <v>5</v>
      </c>
      <c r="X41" t="s">
        <v>23</v>
      </c>
      <c r="Y41" t="s">
        <v>39</v>
      </c>
      <c r="Z41">
        <v>0</v>
      </c>
      <c r="AA41">
        <v>73</v>
      </c>
      <c r="AB41">
        <v>3</v>
      </c>
      <c r="AC41" t="s">
        <v>40</v>
      </c>
      <c r="AD41">
        <v>3</v>
      </c>
      <c r="AE41" t="s">
        <v>41</v>
      </c>
      <c r="AF41" t="s">
        <v>41</v>
      </c>
      <c r="AG41" t="s">
        <v>23</v>
      </c>
      <c r="AH41" t="s">
        <v>42</v>
      </c>
      <c r="AI41" t="s">
        <v>46</v>
      </c>
      <c r="AJ41" t="s">
        <v>47</v>
      </c>
      <c r="AK41" t="s">
        <v>43</v>
      </c>
      <c r="AL41" t="s">
        <v>44</v>
      </c>
      <c r="AM41" t="s">
        <v>45</v>
      </c>
      <c r="AN41" t="s">
        <v>41</v>
      </c>
    </row>
    <row r="42" spans="1:40" x14ac:dyDescent="0.25">
      <c r="A42">
        <v>2</v>
      </c>
      <c r="B42">
        <v>3118</v>
      </c>
      <c r="C42" t="s">
        <v>146</v>
      </c>
      <c r="D42">
        <v>2</v>
      </c>
      <c r="E42">
        <v>95275</v>
      </c>
      <c r="F42">
        <v>0</v>
      </c>
      <c r="G42">
        <v>1</v>
      </c>
      <c r="H42">
        <v>5</v>
      </c>
      <c r="I42">
        <v>50</v>
      </c>
      <c r="J42">
        <v>512</v>
      </c>
      <c r="K42">
        <v>4</v>
      </c>
      <c r="L42">
        <v>0</v>
      </c>
      <c r="M42">
        <v>237</v>
      </c>
      <c r="N42" t="s">
        <v>38</v>
      </c>
      <c r="O42">
        <v>0</v>
      </c>
      <c r="P42" s="1">
        <v>46128</v>
      </c>
      <c r="Q42" s="1">
        <v>46129</v>
      </c>
      <c r="R42" s="1">
        <v>46136</v>
      </c>
      <c r="S42">
        <v>698.97</v>
      </c>
      <c r="T42">
        <v>698.97</v>
      </c>
      <c r="U42">
        <v>698.97</v>
      </c>
      <c r="V42">
        <v>3612009164</v>
      </c>
      <c r="W42">
        <v>3</v>
      </c>
      <c r="X42" t="s">
        <v>23</v>
      </c>
      <c r="Y42" t="s">
        <v>39</v>
      </c>
      <c r="Z42">
        <v>0</v>
      </c>
      <c r="AA42">
        <v>73</v>
      </c>
      <c r="AB42">
        <v>3</v>
      </c>
      <c r="AC42" t="s">
        <v>40</v>
      </c>
      <c r="AD42">
        <v>3</v>
      </c>
      <c r="AE42" t="s">
        <v>41</v>
      </c>
      <c r="AF42" t="s">
        <v>41</v>
      </c>
      <c r="AG42" t="s">
        <v>23</v>
      </c>
      <c r="AH42" t="s">
        <v>42</v>
      </c>
      <c r="AI42" t="s">
        <v>46</v>
      </c>
      <c r="AJ42" t="s">
        <v>47</v>
      </c>
      <c r="AK42" t="s">
        <v>43</v>
      </c>
      <c r="AL42" t="s">
        <v>44</v>
      </c>
      <c r="AM42" t="s">
        <v>45</v>
      </c>
      <c r="AN42" t="s">
        <v>41</v>
      </c>
    </row>
    <row r="43" spans="1:40" x14ac:dyDescent="0.25">
      <c r="A43">
        <v>2</v>
      </c>
      <c r="B43">
        <v>3287</v>
      </c>
      <c r="C43" t="s">
        <v>182</v>
      </c>
      <c r="D43">
        <v>2</v>
      </c>
      <c r="E43">
        <v>95380</v>
      </c>
      <c r="F43">
        <v>0</v>
      </c>
      <c r="G43">
        <v>1</v>
      </c>
      <c r="H43">
        <v>1</v>
      </c>
      <c r="I43">
        <v>10</v>
      </c>
      <c r="J43">
        <v>101</v>
      </c>
      <c r="K43">
        <v>4</v>
      </c>
      <c r="L43">
        <v>0</v>
      </c>
      <c r="M43">
        <v>237</v>
      </c>
      <c r="N43" t="s">
        <v>38</v>
      </c>
      <c r="O43">
        <v>0</v>
      </c>
      <c r="P43" s="1">
        <v>46128</v>
      </c>
      <c r="Q43" s="1">
        <v>46129</v>
      </c>
      <c r="R43" s="1">
        <v>46136</v>
      </c>
      <c r="S43">
        <v>319.43</v>
      </c>
      <c r="T43">
        <v>319.43</v>
      </c>
      <c r="U43">
        <v>319.43</v>
      </c>
      <c r="V43">
        <v>3612009187</v>
      </c>
      <c r="W43">
        <v>2</v>
      </c>
      <c r="X43" t="s">
        <v>23</v>
      </c>
      <c r="Y43" t="s">
        <v>39</v>
      </c>
      <c r="Z43">
        <v>0</v>
      </c>
      <c r="AA43">
        <v>75</v>
      </c>
      <c r="AB43">
        <v>4</v>
      </c>
      <c r="AC43" t="s">
        <v>40</v>
      </c>
      <c r="AD43">
        <v>4</v>
      </c>
      <c r="AE43" t="s">
        <v>41</v>
      </c>
      <c r="AF43" t="s">
        <v>41</v>
      </c>
      <c r="AG43" t="s">
        <v>23</v>
      </c>
      <c r="AH43" t="s">
        <v>42</v>
      </c>
      <c r="AI43" t="s">
        <v>46</v>
      </c>
      <c r="AJ43" t="s">
        <v>47</v>
      </c>
      <c r="AK43" t="s">
        <v>43</v>
      </c>
      <c r="AL43" t="s">
        <v>44</v>
      </c>
      <c r="AM43" t="s">
        <v>45</v>
      </c>
      <c r="AN43" t="s">
        <v>41</v>
      </c>
    </row>
    <row r="44" spans="1:40" x14ac:dyDescent="0.25">
      <c r="A44">
        <v>2</v>
      </c>
      <c r="B44">
        <v>3336</v>
      </c>
      <c r="C44" t="s">
        <v>87</v>
      </c>
      <c r="D44">
        <v>2</v>
      </c>
      <c r="E44">
        <v>95469</v>
      </c>
      <c r="F44">
        <v>0</v>
      </c>
      <c r="G44">
        <v>1</v>
      </c>
      <c r="H44">
        <v>1</v>
      </c>
      <c r="I44">
        <v>10</v>
      </c>
      <c r="J44">
        <v>102</v>
      </c>
      <c r="K44">
        <v>4</v>
      </c>
      <c r="L44">
        <v>0</v>
      </c>
      <c r="M44">
        <v>237</v>
      </c>
      <c r="N44" t="s">
        <v>38</v>
      </c>
      <c r="O44">
        <v>0</v>
      </c>
      <c r="P44" s="1">
        <v>46128</v>
      </c>
      <c r="Q44" s="1">
        <v>46129</v>
      </c>
      <c r="R44" s="1">
        <v>46136</v>
      </c>
      <c r="S44">
        <v>298.49</v>
      </c>
      <c r="T44">
        <v>298.49</v>
      </c>
      <c r="U44">
        <v>298.49</v>
      </c>
      <c r="V44">
        <v>3612009191</v>
      </c>
      <c r="W44">
        <v>0</v>
      </c>
      <c r="X44" t="s">
        <v>23</v>
      </c>
      <c r="Y44" t="s">
        <v>39</v>
      </c>
      <c r="Z44">
        <v>0</v>
      </c>
      <c r="AA44">
        <v>75</v>
      </c>
      <c r="AB44">
        <v>4</v>
      </c>
      <c r="AC44" t="s">
        <v>40</v>
      </c>
      <c r="AD44">
        <v>4</v>
      </c>
      <c r="AE44" t="s">
        <v>41</v>
      </c>
      <c r="AF44" t="s">
        <v>41</v>
      </c>
      <c r="AG44" t="s">
        <v>23</v>
      </c>
      <c r="AH44" t="s">
        <v>42</v>
      </c>
      <c r="AI44" t="s">
        <v>46</v>
      </c>
      <c r="AJ44" t="s">
        <v>47</v>
      </c>
      <c r="AK44" t="s">
        <v>43</v>
      </c>
      <c r="AL44" t="s">
        <v>44</v>
      </c>
      <c r="AM44" t="s">
        <v>45</v>
      </c>
      <c r="AN44" t="s">
        <v>41</v>
      </c>
    </row>
    <row r="45" spans="1:40" x14ac:dyDescent="0.25">
      <c r="A45">
        <v>2</v>
      </c>
      <c r="B45">
        <v>3590</v>
      </c>
      <c r="C45" t="s">
        <v>183</v>
      </c>
      <c r="D45">
        <v>2</v>
      </c>
      <c r="E45">
        <v>95340</v>
      </c>
      <c r="F45">
        <v>0</v>
      </c>
      <c r="G45">
        <v>1</v>
      </c>
      <c r="H45">
        <v>1</v>
      </c>
      <c r="I45">
        <v>10</v>
      </c>
      <c r="J45">
        <v>104</v>
      </c>
      <c r="K45">
        <v>4</v>
      </c>
      <c r="L45">
        <v>0</v>
      </c>
      <c r="M45">
        <v>237</v>
      </c>
      <c r="N45" t="s">
        <v>38</v>
      </c>
      <c r="O45">
        <v>0</v>
      </c>
      <c r="P45" s="1">
        <v>46128</v>
      </c>
      <c r="Q45" s="1">
        <v>46129</v>
      </c>
      <c r="R45" s="1">
        <v>46136</v>
      </c>
      <c r="S45">
        <v>218.86</v>
      </c>
      <c r="T45">
        <v>218.86</v>
      </c>
      <c r="U45">
        <v>218.86</v>
      </c>
      <c r="V45">
        <v>3612009180</v>
      </c>
      <c r="W45">
        <v>5</v>
      </c>
      <c r="X45" t="s">
        <v>23</v>
      </c>
      <c r="Y45" t="s">
        <v>39</v>
      </c>
      <c r="Z45">
        <v>0</v>
      </c>
      <c r="AA45">
        <v>75</v>
      </c>
      <c r="AB45">
        <v>4</v>
      </c>
      <c r="AC45" t="s">
        <v>40</v>
      </c>
      <c r="AD45">
        <v>4</v>
      </c>
      <c r="AE45" t="s">
        <v>41</v>
      </c>
      <c r="AF45" t="s">
        <v>41</v>
      </c>
      <c r="AG45" t="s">
        <v>23</v>
      </c>
      <c r="AH45" t="s">
        <v>42</v>
      </c>
      <c r="AI45" t="s">
        <v>46</v>
      </c>
      <c r="AJ45" t="s">
        <v>47</v>
      </c>
      <c r="AK45" t="s">
        <v>43</v>
      </c>
      <c r="AL45" t="s">
        <v>44</v>
      </c>
      <c r="AM45" t="s">
        <v>45</v>
      </c>
      <c r="AN45" t="s">
        <v>41</v>
      </c>
    </row>
    <row r="46" spans="1:40" x14ac:dyDescent="0.25">
      <c r="A46">
        <v>2</v>
      </c>
      <c r="B46">
        <v>3638</v>
      </c>
      <c r="C46" t="s">
        <v>148</v>
      </c>
      <c r="D46">
        <v>2</v>
      </c>
      <c r="E46">
        <v>95470</v>
      </c>
      <c r="F46">
        <v>0</v>
      </c>
      <c r="G46">
        <v>1</v>
      </c>
      <c r="H46">
        <v>1</v>
      </c>
      <c r="I46">
        <v>10</v>
      </c>
      <c r="J46">
        <v>102</v>
      </c>
      <c r="K46">
        <v>4</v>
      </c>
      <c r="L46">
        <v>0</v>
      </c>
      <c r="M46">
        <v>237</v>
      </c>
      <c r="N46" t="s">
        <v>38</v>
      </c>
      <c r="O46">
        <v>0</v>
      </c>
      <c r="P46" s="1">
        <v>46128</v>
      </c>
      <c r="Q46" s="1">
        <v>46129</v>
      </c>
      <c r="R46" s="1">
        <v>46136</v>
      </c>
      <c r="S46">
        <v>275.8</v>
      </c>
      <c r="T46">
        <v>275.8</v>
      </c>
      <c r="U46">
        <v>275.8</v>
      </c>
      <c r="V46">
        <v>3612009192</v>
      </c>
      <c r="W46">
        <v>9</v>
      </c>
      <c r="X46" t="s">
        <v>23</v>
      </c>
      <c r="Y46" t="s">
        <v>39</v>
      </c>
      <c r="Z46">
        <v>0</v>
      </c>
      <c r="AA46">
        <v>75</v>
      </c>
      <c r="AB46">
        <v>4</v>
      </c>
      <c r="AC46" t="s">
        <v>40</v>
      </c>
      <c r="AD46">
        <v>4</v>
      </c>
      <c r="AE46" t="s">
        <v>41</v>
      </c>
      <c r="AF46" t="s">
        <v>41</v>
      </c>
      <c r="AG46" t="s">
        <v>23</v>
      </c>
      <c r="AH46" t="s">
        <v>42</v>
      </c>
      <c r="AI46" t="s">
        <v>46</v>
      </c>
      <c r="AJ46" t="s">
        <v>47</v>
      </c>
      <c r="AK46" t="s">
        <v>43</v>
      </c>
      <c r="AL46" t="s">
        <v>44</v>
      </c>
      <c r="AM46" t="s">
        <v>45</v>
      </c>
      <c r="AN46" t="s">
        <v>41</v>
      </c>
    </row>
    <row r="47" spans="1:40" x14ac:dyDescent="0.25">
      <c r="A47">
        <v>2</v>
      </c>
      <c r="B47">
        <v>3823</v>
      </c>
      <c r="C47" t="s">
        <v>173</v>
      </c>
      <c r="D47">
        <v>2</v>
      </c>
      <c r="E47">
        <v>95297</v>
      </c>
      <c r="F47">
        <v>0</v>
      </c>
      <c r="G47">
        <v>1</v>
      </c>
      <c r="H47">
        <v>5</v>
      </c>
      <c r="I47">
        <v>50</v>
      </c>
      <c r="J47">
        <v>511</v>
      </c>
      <c r="K47">
        <v>4</v>
      </c>
      <c r="L47">
        <v>0</v>
      </c>
      <c r="M47">
        <v>237</v>
      </c>
      <c r="N47" t="s">
        <v>38</v>
      </c>
      <c r="O47">
        <v>0</v>
      </c>
      <c r="P47" s="1">
        <v>46128</v>
      </c>
      <c r="Q47" s="1">
        <v>46129</v>
      </c>
      <c r="R47" s="1">
        <v>46136</v>
      </c>
      <c r="S47">
        <v>2059.25</v>
      </c>
      <c r="T47">
        <v>2059.25</v>
      </c>
      <c r="U47">
        <v>2059.25</v>
      </c>
      <c r="V47">
        <v>3612009166</v>
      </c>
      <c r="W47" t="s">
        <v>80</v>
      </c>
      <c r="X47" t="s">
        <v>23</v>
      </c>
      <c r="Y47" t="s">
        <v>39</v>
      </c>
      <c r="Z47">
        <v>0</v>
      </c>
      <c r="AA47">
        <v>72</v>
      </c>
      <c r="AB47">
        <v>3</v>
      </c>
      <c r="AC47" t="s">
        <v>40</v>
      </c>
      <c r="AD47">
        <v>3</v>
      </c>
      <c r="AE47" t="s">
        <v>41</v>
      </c>
      <c r="AF47" t="s">
        <v>41</v>
      </c>
      <c r="AG47" t="s">
        <v>23</v>
      </c>
      <c r="AH47" t="s">
        <v>42</v>
      </c>
      <c r="AI47" t="s">
        <v>46</v>
      </c>
      <c r="AJ47" t="s">
        <v>47</v>
      </c>
      <c r="AK47" t="s">
        <v>43</v>
      </c>
      <c r="AL47" t="s">
        <v>44</v>
      </c>
      <c r="AM47" t="s">
        <v>45</v>
      </c>
      <c r="AN47" t="s">
        <v>41</v>
      </c>
    </row>
    <row r="48" spans="1:40" x14ac:dyDescent="0.25">
      <c r="A48">
        <v>2</v>
      </c>
      <c r="B48">
        <v>3976</v>
      </c>
      <c r="C48" t="s">
        <v>200</v>
      </c>
      <c r="D48">
        <v>2</v>
      </c>
      <c r="E48">
        <v>96063</v>
      </c>
      <c r="F48">
        <v>0</v>
      </c>
      <c r="G48">
        <v>1</v>
      </c>
      <c r="H48">
        <v>5</v>
      </c>
      <c r="I48">
        <v>50</v>
      </c>
      <c r="J48">
        <v>513</v>
      </c>
      <c r="K48">
        <v>4</v>
      </c>
      <c r="L48">
        <v>0</v>
      </c>
      <c r="M48">
        <v>237</v>
      </c>
      <c r="N48" t="s">
        <v>38</v>
      </c>
      <c r="O48">
        <v>0</v>
      </c>
      <c r="P48" s="1">
        <v>46132</v>
      </c>
      <c r="Q48" s="1">
        <v>46134</v>
      </c>
      <c r="R48" s="1">
        <v>46136</v>
      </c>
      <c r="S48">
        <v>638.30999999999995</v>
      </c>
      <c r="T48">
        <v>638.30999999999995</v>
      </c>
      <c r="U48">
        <v>638.30999999999995</v>
      </c>
      <c r="V48">
        <v>3612009272</v>
      </c>
      <c r="W48">
        <v>0</v>
      </c>
      <c r="X48" t="s">
        <v>23</v>
      </c>
      <c r="Y48" t="s">
        <v>39</v>
      </c>
      <c r="Z48">
        <v>0</v>
      </c>
      <c r="AA48">
        <v>72</v>
      </c>
      <c r="AB48">
        <v>3</v>
      </c>
      <c r="AC48" t="s">
        <v>40</v>
      </c>
      <c r="AD48">
        <v>3</v>
      </c>
      <c r="AE48" t="s">
        <v>41</v>
      </c>
      <c r="AF48" t="s">
        <v>41</v>
      </c>
      <c r="AG48" t="s">
        <v>23</v>
      </c>
      <c r="AH48" t="s">
        <v>42</v>
      </c>
      <c r="AI48" t="s">
        <v>46</v>
      </c>
      <c r="AJ48" t="s">
        <v>47</v>
      </c>
      <c r="AK48" t="s">
        <v>43</v>
      </c>
      <c r="AL48" t="s">
        <v>44</v>
      </c>
      <c r="AM48" t="s">
        <v>45</v>
      </c>
      <c r="AN48" t="s">
        <v>41</v>
      </c>
    </row>
    <row r="49" spans="1:40" x14ac:dyDescent="0.25">
      <c r="A49">
        <v>2</v>
      </c>
      <c r="B49">
        <v>3976</v>
      </c>
      <c r="C49" t="s">
        <v>200</v>
      </c>
      <c r="D49">
        <v>2</v>
      </c>
      <c r="E49">
        <v>96064</v>
      </c>
      <c r="F49">
        <v>0</v>
      </c>
      <c r="G49">
        <v>1</v>
      </c>
      <c r="H49">
        <v>5</v>
      </c>
      <c r="I49">
        <v>50</v>
      </c>
      <c r="J49">
        <v>513</v>
      </c>
      <c r="K49">
        <v>4</v>
      </c>
      <c r="L49">
        <v>0</v>
      </c>
      <c r="M49">
        <v>237</v>
      </c>
      <c r="N49" t="s">
        <v>38</v>
      </c>
      <c r="O49">
        <v>0</v>
      </c>
      <c r="P49" s="1">
        <v>46132</v>
      </c>
      <c r="Q49" s="1">
        <v>46134</v>
      </c>
      <c r="R49" s="1">
        <v>46136</v>
      </c>
      <c r="S49">
        <v>2250.98</v>
      </c>
      <c r="T49">
        <v>2250.98</v>
      </c>
      <c r="U49">
        <v>2250.98</v>
      </c>
      <c r="V49">
        <v>3612009273</v>
      </c>
      <c r="W49">
        <v>9</v>
      </c>
      <c r="X49" t="s">
        <v>23</v>
      </c>
      <c r="Y49" t="s">
        <v>39</v>
      </c>
      <c r="Z49">
        <v>0</v>
      </c>
      <c r="AA49">
        <v>72</v>
      </c>
      <c r="AB49">
        <v>3</v>
      </c>
      <c r="AC49" t="s">
        <v>40</v>
      </c>
      <c r="AD49">
        <v>3</v>
      </c>
      <c r="AE49" t="s">
        <v>41</v>
      </c>
      <c r="AF49" t="s">
        <v>41</v>
      </c>
      <c r="AG49" t="s">
        <v>23</v>
      </c>
      <c r="AH49" t="s">
        <v>42</v>
      </c>
      <c r="AI49" t="s">
        <v>46</v>
      </c>
      <c r="AJ49" t="s">
        <v>47</v>
      </c>
      <c r="AK49" t="s">
        <v>43</v>
      </c>
      <c r="AL49" t="s">
        <v>44</v>
      </c>
      <c r="AM49" t="s">
        <v>45</v>
      </c>
      <c r="AN49" t="s">
        <v>41</v>
      </c>
    </row>
    <row r="50" spans="1:40" x14ac:dyDescent="0.25">
      <c r="A50">
        <v>2</v>
      </c>
      <c r="B50">
        <v>4033</v>
      </c>
      <c r="C50" t="s">
        <v>184</v>
      </c>
      <c r="D50">
        <v>2</v>
      </c>
      <c r="E50">
        <v>95298</v>
      </c>
      <c r="F50">
        <v>0</v>
      </c>
      <c r="G50">
        <v>1</v>
      </c>
      <c r="H50">
        <v>5</v>
      </c>
      <c r="I50">
        <v>50</v>
      </c>
      <c r="J50">
        <v>514</v>
      </c>
      <c r="K50">
        <v>4</v>
      </c>
      <c r="L50">
        <v>0</v>
      </c>
      <c r="M50">
        <v>237</v>
      </c>
      <c r="N50" t="s">
        <v>38</v>
      </c>
      <c r="O50">
        <v>0</v>
      </c>
      <c r="P50" s="1">
        <v>46128</v>
      </c>
      <c r="Q50" s="1">
        <v>46129</v>
      </c>
      <c r="R50" s="1">
        <v>46136</v>
      </c>
      <c r="S50">
        <v>485.7</v>
      </c>
      <c r="T50">
        <v>485.7</v>
      </c>
      <c r="U50">
        <v>485.7</v>
      </c>
      <c r="V50">
        <v>3612009167</v>
      </c>
      <c r="W50">
        <v>8</v>
      </c>
      <c r="X50" t="s">
        <v>23</v>
      </c>
      <c r="Y50" t="s">
        <v>39</v>
      </c>
      <c r="Z50">
        <v>0</v>
      </c>
      <c r="AA50">
        <v>75</v>
      </c>
      <c r="AB50">
        <v>3</v>
      </c>
      <c r="AC50" t="s">
        <v>40</v>
      </c>
      <c r="AD50">
        <v>3</v>
      </c>
      <c r="AE50" t="s">
        <v>41</v>
      </c>
      <c r="AF50" t="s">
        <v>41</v>
      </c>
      <c r="AG50" t="s">
        <v>23</v>
      </c>
      <c r="AH50" t="s">
        <v>42</v>
      </c>
      <c r="AI50" t="s">
        <v>46</v>
      </c>
      <c r="AJ50" t="s">
        <v>47</v>
      </c>
      <c r="AK50" t="s">
        <v>43</v>
      </c>
      <c r="AL50" t="s">
        <v>44</v>
      </c>
      <c r="AM50" t="s">
        <v>45</v>
      </c>
      <c r="AN50" t="s">
        <v>41</v>
      </c>
    </row>
    <row r="51" spans="1:40" x14ac:dyDescent="0.25">
      <c r="A51">
        <v>2</v>
      </c>
      <c r="B51">
        <v>167</v>
      </c>
      <c r="C51" t="s">
        <v>221</v>
      </c>
      <c r="D51">
        <v>2</v>
      </c>
      <c r="E51">
        <v>96298</v>
      </c>
      <c r="F51">
        <v>0</v>
      </c>
      <c r="G51">
        <v>1</v>
      </c>
      <c r="H51">
        <v>1</v>
      </c>
      <c r="I51">
        <v>10</v>
      </c>
      <c r="J51">
        <v>102</v>
      </c>
      <c r="K51">
        <v>4</v>
      </c>
      <c r="L51">
        <v>0</v>
      </c>
      <c r="M51">
        <v>237</v>
      </c>
      <c r="N51" t="s">
        <v>38</v>
      </c>
      <c r="O51">
        <v>3</v>
      </c>
      <c r="P51" s="1">
        <v>46134</v>
      </c>
      <c r="Q51" s="1">
        <v>46135</v>
      </c>
      <c r="R51" s="1">
        <v>46139</v>
      </c>
      <c r="S51">
        <v>253.89</v>
      </c>
      <c r="T51">
        <v>253.89</v>
      </c>
      <c r="U51">
        <v>253.89</v>
      </c>
      <c r="V51">
        <v>3612009322</v>
      </c>
      <c r="W51">
        <v>0</v>
      </c>
      <c r="X51" t="s">
        <v>23</v>
      </c>
      <c r="Y51" t="s">
        <v>39</v>
      </c>
      <c r="Z51">
        <v>0</v>
      </c>
      <c r="AA51">
        <v>75</v>
      </c>
      <c r="AB51">
        <v>3</v>
      </c>
      <c r="AC51" t="s">
        <v>40</v>
      </c>
      <c r="AD51">
        <v>3</v>
      </c>
      <c r="AE51" t="s">
        <v>41</v>
      </c>
      <c r="AF51" t="s">
        <v>41</v>
      </c>
      <c r="AG51" t="s">
        <v>23</v>
      </c>
      <c r="AH51" t="s">
        <v>42</v>
      </c>
      <c r="AI51" t="s">
        <v>46</v>
      </c>
      <c r="AJ51" t="s">
        <v>47</v>
      </c>
      <c r="AK51" t="s">
        <v>43</v>
      </c>
      <c r="AL51" t="s">
        <v>44</v>
      </c>
      <c r="AM51" t="s">
        <v>45</v>
      </c>
      <c r="AN51" t="s">
        <v>41</v>
      </c>
    </row>
    <row r="52" spans="1:40" x14ac:dyDescent="0.25">
      <c r="A52">
        <v>2</v>
      </c>
      <c r="B52">
        <v>379</v>
      </c>
      <c r="C52" t="s">
        <v>128</v>
      </c>
      <c r="D52">
        <v>2</v>
      </c>
      <c r="E52">
        <v>95894</v>
      </c>
      <c r="F52">
        <v>0</v>
      </c>
      <c r="G52">
        <v>1</v>
      </c>
      <c r="H52">
        <v>1</v>
      </c>
      <c r="I52">
        <v>10</v>
      </c>
      <c r="J52">
        <v>103</v>
      </c>
      <c r="K52">
        <v>4</v>
      </c>
      <c r="L52">
        <v>0</v>
      </c>
      <c r="M52">
        <v>237</v>
      </c>
      <c r="N52" t="s">
        <v>38</v>
      </c>
      <c r="O52">
        <v>3</v>
      </c>
      <c r="P52" s="1">
        <v>46132</v>
      </c>
      <c r="Q52" s="1">
        <v>46134</v>
      </c>
      <c r="R52" s="1">
        <v>46139</v>
      </c>
      <c r="S52">
        <v>1307.94</v>
      </c>
      <c r="T52">
        <v>1307.94</v>
      </c>
      <c r="U52">
        <v>1307.94</v>
      </c>
      <c r="V52">
        <v>3612009247</v>
      </c>
      <c r="W52" t="s">
        <v>80</v>
      </c>
      <c r="X52" t="s">
        <v>23</v>
      </c>
      <c r="Y52" t="s">
        <v>39</v>
      </c>
      <c r="Z52">
        <v>0</v>
      </c>
      <c r="AA52">
        <v>73</v>
      </c>
      <c r="AB52">
        <v>6</v>
      </c>
      <c r="AC52" t="s">
        <v>40</v>
      </c>
      <c r="AD52">
        <v>6</v>
      </c>
      <c r="AE52" t="s">
        <v>41</v>
      </c>
      <c r="AF52" t="s">
        <v>41</v>
      </c>
      <c r="AG52" t="s">
        <v>23</v>
      </c>
      <c r="AH52" t="s">
        <v>42</v>
      </c>
      <c r="AI52" t="s">
        <v>46</v>
      </c>
      <c r="AJ52" t="s">
        <v>47</v>
      </c>
      <c r="AK52" t="s">
        <v>43</v>
      </c>
      <c r="AL52" t="s">
        <v>44</v>
      </c>
      <c r="AM52" t="s">
        <v>45</v>
      </c>
      <c r="AN52" t="s">
        <v>41</v>
      </c>
    </row>
    <row r="53" spans="1:40" x14ac:dyDescent="0.25">
      <c r="A53">
        <v>2</v>
      </c>
      <c r="B53">
        <v>409</v>
      </c>
      <c r="C53" t="s">
        <v>138</v>
      </c>
      <c r="D53">
        <v>2</v>
      </c>
      <c r="E53">
        <v>95723</v>
      </c>
      <c r="F53">
        <v>0</v>
      </c>
      <c r="G53">
        <v>1</v>
      </c>
      <c r="H53">
        <v>1</v>
      </c>
      <c r="I53">
        <v>10</v>
      </c>
      <c r="J53">
        <v>104</v>
      </c>
      <c r="K53">
        <v>4</v>
      </c>
      <c r="L53">
        <v>0</v>
      </c>
      <c r="M53">
        <v>237</v>
      </c>
      <c r="N53" t="s">
        <v>38</v>
      </c>
      <c r="O53">
        <v>3</v>
      </c>
      <c r="P53" s="1">
        <v>46130</v>
      </c>
      <c r="Q53" s="1">
        <v>46132</v>
      </c>
      <c r="R53" s="1">
        <v>46139</v>
      </c>
      <c r="S53">
        <v>377.29</v>
      </c>
      <c r="T53">
        <v>377.29</v>
      </c>
      <c r="U53">
        <v>377.29</v>
      </c>
      <c r="V53">
        <v>3612009229</v>
      </c>
      <c r="W53">
        <v>1</v>
      </c>
      <c r="X53" t="s">
        <v>23</v>
      </c>
      <c r="Y53" t="s">
        <v>39</v>
      </c>
      <c r="Z53">
        <v>0</v>
      </c>
      <c r="AA53">
        <v>73</v>
      </c>
      <c r="AB53">
        <v>6</v>
      </c>
      <c r="AC53" t="s">
        <v>40</v>
      </c>
      <c r="AD53">
        <v>6</v>
      </c>
      <c r="AE53" t="s">
        <v>41</v>
      </c>
      <c r="AF53" t="s">
        <v>41</v>
      </c>
      <c r="AG53" t="s">
        <v>23</v>
      </c>
      <c r="AH53" t="s">
        <v>42</v>
      </c>
      <c r="AI53" t="s">
        <v>46</v>
      </c>
      <c r="AJ53" t="s">
        <v>47</v>
      </c>
      <c r="AK53" t="s">
        <v>43</v>
      </c>
      <c r="AL53" t="s">
        <v>44</v>
      </c>
      <c r="AM53" t="s">
        <v>45</v>
      </c>
      <c r="AN53" t="s">
        <v>41</v>
      </c>
    </row>
    <row r="54" spans="1:40" x14ac:dyDescent="0.25">
      <c r="A54">
        <v>2</v>
      </c>
      <c r="B54">
        <v>417</v>
      </c>
      <c r="C54" t="s">
        <v>222</v>
      </c>
      <c r="D54">
        <v>2</v>
      </c>
      <c r="E54">
        <v>96344</v>
      </c>
      <c r="F54">
        <v>0</v>
      </c>
      <c r="G54">
        <v>1</v>
      </c>
      <c r="H54">
        <v>1</v>
      </c>
      <c r="I54">
        <v>10</v>
      </c>
      <c r="J54">
        <v>103</v>
      </c>
      <c r="K54">
        <v>4</v>
      </c>
      <c r="L54">
        <v>0</v>
      </c>
      <c r="M54">
        <v>237</v>
      </c>
      <c r="N54" t="s">
        <v>38</v>
      </c>
      <c r="O54">
        <v>3</v>
      </c>
      <c r="P54" s="1">
        <v>46134</v>
      </c>
      <c r="Q54" s="1">
        <v>46135</v>
      </c>
      <c r="R54" s="1">
        <v>46139</v>
      </c>
      <c r="S54">
        <v>2348.6999999999998</v>
      </c>
      <c r="T54">
        <v>2348.6999999999998</v>
      </c>
      <c r="U54">
        <v>2348.6999999999998</v>
      </c>
      <c r="V54">
        <v>3612009328</v>
      </c>
      <c r="W54" t="s">
        <v>80</v>
      </c>
      <c r="X54" t="s">
        <v>23</v>
      </c>
      <c r="Y54" t="s">
        <v>39</v>
      </c>
      <c r="Z54">
        <v>0</v>
      </c>
      <c r="AA54">
        <v>73</v>
      </c>
      <c r="AB54">
        <v>6</v>
      </c>
      <c r="AC54" t="s">
        <v>40</v>
      </c>
      <c r="AD54">
        <v>6</v>
      </c>
      <c r="AE54" t="s">
        <v>41</v>
      </c>
      <c r="AF54" t="s">
        <v>41</v>
      </c>
      <c r="AG54" t="s">
        <v>23</v>
      </c>
      <c r="AH54" t="s">
        <v>42</v>
      </c>
      <c r="AI54" t="s">
        <v>46</v>
      </c>
      <c r="AJ54" t="s">
        <v>47</v>
      </c>
      <c r="AK54" t="s">
        <v>43</v>
      </c>
      <c r="AL54" t="s">
        <v>44</v>
      </c>
      <c r="AM54" t="s">
        <v>45</v>
      </c>
      <c r="AN54" t="s">
        <v>41</v>
      </c>
    </row>
    <row r="55" spans="1:40" x14ac:dyDescent="0.25">
      <c r="A55">
        <v>2</v>
      </c>
      <c r="B55">
        <v>472</v>
      </c>
      <c r="C55" t="s">
        <v>223</v>
      </c>
      <c r="D55">
        <v>2</v>
      </c>
      <c r="E55">
        <v>96343</v>
      </c>
      <c r="F55">
        <v>0</v>
      </c>
      <c r="G55">
        <v>1</v>
      </c>
      <c r="H55">
        <v>1</v>
      </c>
      <c r="I55">
        <v>10</v>
      </c>
      <c r="J55">
        <v>103</v>
      </c>
      <c r="K55">
        <v>4</v>
      </c>
      <c r="L55">
        <v>0</v>
      </c>
      <c r="M55">
        <v>237</v>
      </c>
      <c r="N55" t="s">
        <v>38</v>
      </c>
      <c r="O55">
        <v>3</v>
      </c>
      <c r="P55" s="1">
        <v>46134</v>
      </c>
      <c r="Q55" s="1">
        <v>46135</v>
      </c>
      <c r="R55" s="1">
        <v>46139</v>
      </c>
      <c r="S55">
        <v>668.64</v>
      </c>
      <c r="T55">
        <v>668.64</v>
      </c>
      <c r="U55">
        <v>668.64</v>
      </c>
      <c r="V55">
        <v>3612009327</v>
      </c>
      <c r="W55">
        <v>1</v>
      </c>
      <c r="X55" t="s">
        <v>23</v>
      </c>
      <c r="Y55" t="s">
        <v>39</v>
      </c>
      <c r="Z55">
        <v>0</v>
      </c>
      <c r="AA55">
        <v>72</v>
      </c>
      <c r="AB55">
        <v>3</v>
      </c>
      <c r="AC55" t="s">
        <v>40</v>
      </c>
      <c r="AD55">
        <v>3</v>
      </c>
      <c r="AE55" t="s">
        <v>41</v>
      </c>
      <c r="AF55" t="s">
        <v>41</v>
      </c>
      <c r="AG55" t="s">
        <v>23</v>
      </c>
      <c r="AH55" t="s">
        <v>42</v>
      </c>
      <c r="AI55" t="s">
        <v>46</v>
      </c>
      <c r="AJ55" t="s">
        <v>47</v>
      </c>
      <c r="AK55" t="s">
        <v>43</v>
      </c>
      <c r="AL55" t="s">
        <v>44</v>
      </c>
      <c r="AM55" t="s">
        <v>45</v>
      </c>
      <c r="AN55" t="s">
        <v>41</v>
      </c>
    </row>
    <row r="56" spans="1:40" x14ac:dyDescent="0.25">
      <c r="A56">
        <v>2</v>
      </c>
      <c r="B56">
        <v>604</v>
      </c>
      <c r="C56" t="s">
        <v>201</v>
      </c>
      <c r="D56">
        <v>2</v>
      </c>
      <c r="E56">
        <v>95966</v>
      </c>
      <c r="F56">
        <v>0</v>
      </c>
      <c r="G56">
        <v>1</v>
      </c>
      <c r="H56">
        <v>5</v>
      </c>
      <c r="I56">
        <v>50</v>
      </c>
      <c r="J56">
        <v>511</v>
      </c>
      <c r="K56">
        <v>4</v>
      </c>
      <c r="L56">
        <v>0</v>
      </c>
      <c r="M56">
        <v>237</v>
      </c>
      <c r="N56" t="s">
        <v>38</v>
      </c>
      <c r="O56">
        <v>3</v>
      </c>
      <c r="P56" s="1">
        <v>46132</v>
      </c>
      <c r="Q56" s="1">
        <v>46134</v>
      </c>
      <c r="R56" s="1">
        <v>46139</v>
      </c>
      <c r="S56">
        <v>1881.74</v>
      </c>
      <c r="T56">
        <v>1881.74</v>
      </c>
      <c r="U56">
        <v>1881.74</v>
      </c>
      <c r="V56">
        <v>3612009260</v>
      </c>
      <c r="W56">
        <v>7</v>
      </c>
      <c r="X56" t="s">
        <v>23</v>
      </c>
      <c r="Y56" t="s">
        <v>39</v>
      </c>
      <c r="Z56">
        <v>0</v>
      </c>
      <c r="AA56">
        <v>73</v>
      </c>
      <c r="AB56">
        <v>6</v>
      </c>
      <c r="AC56" t="s">
        <v>40</v>
      </c>
      <c r="AD56">
        <v>6</v>
      </c>
      <c r="AE56" t="s">
        <v>41</v>
      </c>
      <c r="AF56" t="s">
        <v>41</v>
      </c>
      <c r="AG56" t="s">
        <v>23</v>
      </c>
      <c r="AH56" t="s">
        <v>42</v>
      </c>
      <c r="AI56" t="s">
        <v>46</v>
      </c>
      <c r="AJ56" t="s">
        <v>47</v>
      </c>
      <c r="AK56" t="s">
        <v>43</v>
      </c>
      <c r="AL56" t="s">
        <v>44</v>
      </c>
      <c r="AM56" t="s">
        <v>45</v>
      </c>
      <c r="AN56" t="s">
        <v>41</v>
      </c>
    </row>
    <row r="57" spans="1:40" x14ac:dyDescent="0.25">
      <c r="A57">
        <v>2</v>
      </c>
      <c r="B57">
        <v>612</v>
      </c>
      <c r="C57" t="s">
        <v>150</v>
      </c>
      <c r="D57">
        <v>2</v>
      </c>
      <c r="E57">
        <v>95638</v>
      </c>
      <c r="F57">
        <v>0</v>
      </c>
      <c r="G57">
        <v>1</v>
      </c>
      <c r="H57">
        <v>1</v>
      </c>
      <c r="I57">
        <v>10</v>
      </c>
      <c r="J57">
        <v>102</v>
      </c>
      <c r="K57">
        <v>4</v>
      </c>
      <c r="L57">
        <v>0</v>
      </c>
      <c r="M57">
        <v>237</v>
      </c>
      <c r="N57" t="s">
        <v>38</v>
      </c>
      <c r="O57">
        <v>3</v>
      </c>
      <c r="P57" s="1">
        <v>46129</v>
      </c>
      <c r="Q57" s="1">
        <v>46130</v>
      </c>
      <c r="R57" s="1">
        <v>46139</v>
      </c>
      <c r="S57">
        <v>1686.63</v>
      </c>
      <c r="T57">
        <v>1686.63</v>
      </c>
      <c r="U57">
        <v>1686.63</v>
      </c>
      <c r="V57">
        <v>3612009221</v>
      </c>
      <c r="W57">
        <v>6</v>
      </c>
      <c r="X57" t="s">
        <v>23</v>
      </c>
      <c r="Y57" t="s">
        <v>39</v>
      </c>
      <c r="Z57">
        <v>0</v>
      </c>
      <c r="AA57">
        <v>73</v>
      </c>
      <c r="AB57">
        <v>3</v>
      </c>
      <c r="AC57" t="s">
        <v>40</v>
      </c>
      <c r="AD57">
        <v>3</v>
      </c>
      <c r="AE57" t="s">
        <v>41</v>
      </c>
      <c r="AF57" t="s">
        <v>41</v>
      </c>
      <c r="AG57" t="s">
        <v>23</v>
      </c>
      <c r="AH57" t="s">
        <v>42</v>
      </c>
      <c r="AI57" t="s">
        <v>46</v>
      </c>
      <c r="AJ57" t="s">
        <v>47</v>
      </c>
      <c r="AK57" t="s">
        <v>43</v>
      </c>
      <c r="AL57" t="s">
        <v>44</v>
      </c>
      <c r="AM57" t="s">
        <v>45</v>
      </c>
      <c r="AN57" t="s">
        <v>41</v>
      </c>
    </row>
    <row r="58" spans="1:40" x14ac:dyDescent="0.25">
      <c r="A58">
        <v>2</v>
      </c>
      <c r="B58">
        <v>620</v>
      </c>
      <c r="C58" t="s">
        <v>185</v>
      </c>
      <c r="D58">
        <v>2</v>
      </c>
      <c r="E58">
        <v>95666</v>
      </c>
      <c r="F58">
        <v>0</v>
      </c>
      <c r="G58">
        <v>1</v>
      </c>
      <c r="H58">
        <v>1</v>
      </c>
      <c r="I58">
        <v>10</v>
      </c>
      <c r="J58">
        <v>101</v>
      </c>
      <c r="K58">
        <v>4</v>
      </c>
      <c r="L58">
        <v>0</v>
      </c>
      <c r="M58">
        <v>237</v>
      </c>
      <c r="N58" t="s">
        <v>38</v>
      </c>
      <c r="O58">
        <v>3</v>
      </c>
      <c r="P58" s="1">
        <v>46129</v>
      </c>
      <c r="Q58" s="1">
        <v>46130</v>
      </c>
      <c r="R58" s="1">
        <v>46139</v>
      </c>
      <c r="S58">
        <v>310.22000000000003</v>
      </c>
      <c r="T58">
        <v>310.22000000000003</v>
      </c>
      <c r="U58">
        <v>310.22000000000003</v>
      </c>
      <c r="V58">
        <v>3612009223</v>
      </c>
      <c r="W58">
        <v>2</v>
      </c>
      <c r="X58" t="s">
        <v>23</v>
      </c>
      <c r="Y58" t="s">
        <v>39</v>
      </c>
      <c r="Z58">
        <v>0</v>
      </c>
      <c r="AA58">
        <v>73</v>
      </c>
      <c r="AB58">
        <v>3</v>
      </c>
      <c r="AC58" t="s">
        <v>40</v>
      </c>
      <c r="AD58">
        <v>3</v>
      </c>
      <c r="AE58" t="s">
        <v>41</v>
      </c>
      <c r="AF58" t="s">
        <v>41</v>
      </c>
      <c r="AG58" t="s">
        <v>23</v>
      </c>
      <c r="AH58" t="s">
        <v>42</v>
      </c>
      <c r="AI58" t="s">
        <v>46</v>
      </c>
      <c r="AJ58" t="s">
        <v>47</v>
      </c>
      <c r="AK58" t="s">
        <v>43</v>
      </c>
      <c r="AL58" t="s">
        <v>44</v>
      </c>
      <c r="AM58" t="s">
        <v>45</v>
      </c>
      <c r="AN58" t="s">
        <v>41</v>
      </c>
    </row>
    <row r="59" spans="1:40" x14ac:dyDescent="0.25">
      <c r="A59">
        <v>2</v>
      </c>
      <c r="B59">
        <v>622</v>
      </c>
      <c r="C59" t="s">
        <v>202</v>
      </c>
      <c r="D59">
        <v>2</v>
      </c>
      <c r="E59">
        <v>96126</v>
      </c>
      <c r="F59">
        <v>0</v>
      </c>
      <c r="G59">
        <v>1</v>
      </c>
      <c r="H59">
        <v>1</v>
      </c>
      <c r="I59">
        <v>10</v>
      </c>
      <c r="J59">
        <v>101</v>
      </c>
      <c r="K59">
        <v>4</v>
      </c>
      <c r="L59">
        <v>0</v>
      </c>
      <c r="M59">
        <v>237</v>
      </c>
      <c r="N59" t="s">
        <v>38</v>
      </c>
      <c r="O59">
        <v>3</v>
      </c>
      <c r="P59" s="1">
        <v>46132</v>
      </c>
      <c r="Q59" s="1">
        <v>46134</v>
      </c>
      <c r="R59" s="1">
        <v>46139</v>
      </c>
      <c r="S59">
        <v>651.66</v>
      </c>
      <c r="T59">
        <v>651.66</v>
      </c>
      <c r="U59">
        <v>651.66</v>
      </c>
      <c r="V59">
        <v>3612009286</v>
      </c>
      <c r="W59">
        <v>0</v>
      </c>
      <c r="X59" t="s">
        <v>23</v>
      </c>
      <c r="Y59" t="s">
        <v>39</v>
      </c>
      <c r="Z59">
        <v>0</v>
      </c>
      <c r="AA59">
        <v>75</v>
      </c>
      <c r="AB59">
        <v>3</v>
      </c>
      <c r="AC59" t="s">
        <v>40</v>
      </c>
      <c r="AD59">
        <v>3</v>
      </c>
      <c r="AE59" t="s">
        <v>41</v>
      </c>
      <c r="AF59" t="s">
        <v>41</v>
      </c>
      <c r="AG59" t="s">
        <v>23</v>
      </c>
      <c r="AH59" t="s">
        <v>42</v>
      </c>
      <c r="AI59" t="s">
        <v>46</v>
      </c>
      <c r="AJ59" t="s">
        <v>47</v>
      </c>
      <c r="AK59" t="s">
        <v>43</v>
      </c>
      <c r="AL59" t="s">
        <v>44</v>
      </c>
      <c r="AM59" t="s">
        <v>45</v>
      </c>
      <c r="AN59" t="s">
        <v>41</v>
      </c>
    </row>
    <row r="60" spans="1:40" x14ac:dyDescent="0.25">
      <c r="A60">
        <v>2</v>
      </c>
      <c r="B60">
        <v>849</v>
      </c>
      <c r="C60" t="s">
        <v>224</v>
      </c>
      <c r="D60">
        <v>2</v>
      </c>
      <c r="E60">
        <v>96335</v>
      </c>
      <c r="F60">
        <v>0</v>
      </c>
      <c r="G60">
        <v>1</v>
      </c>
      <c r="H60">
        <v>1</v>
      </c>
      <c r="I60">
        <v>10</v>
      </c>
      <c r="J60">
        <v>103</v>
      </c>
      <c r="K60">
        <v>4</v>
      </c>
      <c r="L60">
        <v>0</v>
      </c>
      <c r="M60">
        <v>237</v>
      </c>
      <c r="N60" t="s">
        <v>38</v>
      </c>
      <c r="O60">
        <v>3</v>
      </c>
      <c r="P60" s="1">
        <v>46134</v>
      </c>
      <c r="Q60" s="1">
        <v>46135</v>
      </c>
      <c r="R60" s="1">
        <v>46139</v>
      </c>
      <c r="S60">
        <v>809.5</v>
      </c>
      <c r="T60">
        <v>809.5</v>
      </c>
      <c r="U60">
        <v>809.5</v>
      </c>
      <c r="V60">
        <v>3612009326</v>
      </c>
      <c r="W60">
        <v>3</v>
      </c>
      <c r="X60" t="s">
        <v>23</v>
      </c>
      <c r="Y60" t="s">
        <v>39</v>
      </c>
      <c r="Z60">
        <v>0</v>
      </c>
      <c r="AA60">
        <v>75</v>
      </c>
      <c r="AB60">
        <v>6</v>
      </c>
      <c r="AC60" t="s">
        <v>40</v>
      </c>
      <c r="AD60">
        <v>6</v>
      </c>
      <c r="AE60" t="s">
        <v>41</v>
      </c>
      <c r="AF60" t="s">
        <v>41</v>
      </c>
      <c r="AG60" t="s">
        <v>23</v>
      </c>
      <c r="AH60" t="s">
        <v>42</v>
      </c>
      <c r="AI60" t="s">
        <v>46</v>
      </c>
      <c r="AJ60" t="s">
        <v>47</v>
      </c>
      <c r="AK60" t="s">
        <v>43</v>
      </c>
      <c r="AL60" t="s">
        <v>44</v>
      </c>
      <c r="AM60" t="s">
        <v>45</v>
      </c>
      <c r="AN60" t="s">
        <v>41</v>
      </c>
    </row>
    <row r="61" spans="1:40" x14ac:dyDescent="0.25">
      <c r="A61">
        <v>2</v>
      </c>
      <c r="B61">
        <v>891</v>
      </c>
      <c r="C61" t="s">
        <v>136</v>
      </c>
      <c r="D61">
        <v>2</v>
      </c>
      <c r="E61">
        <v>92998</v>
      </c>
      <c r="F61">
        <v>0</v>
      </c>
      <c r="G61">
        <v>1</v>
      </c>
      <c r="H61">
        <v>5</v>
      </c>
      <c r="I61">
        <v>50</v>
      </c>
      <c r="J61">
        <v>515</v>
      </c>
      <c r="K61">
        <v>4</v>
      </c>
      <c r="L61">
        <v>0</v>
      </c>
      <c r="M61">
        <v>237</v>
      </c>
      <c r="N61" t="s">
        <v>38</v>
      </c>
      <c r="O61">
        <v>3</v>
      </c>
      <c r="P61" s="1">
        <v>46116</v>
      </c>
      <c r="Q61" s="1">
        <v>46118</v>
      </c>
      <c r="R61" s="1">
        <v>46139</v>
      </c>
      <c r="S61">
        <v>532.79999999999995</v>
      </c>
      <c r="T61">
        <v>532.79999999999995</v>
      </c>
      <c r="U61">
        <v>532.79999999999995</v>
      </c>
      <c r="V61">
        <v>3612008826</v>
      </c>
      <c r="W61" t="s">
        <v>80</v>
      </c>
      <c r="X61" t="s">
        <v>23</v>
      </c>
      <c r="Y61" t="s">
        <v>39</v>
      </c>
      <c r="Z61">
        <v>0</v>
      </c>
      <c r="AA61">
        <v>75</v>
      </c>
      <c r="AB61">
        <v>4</v>
      </c>
      <c r="AC61" t="s">
        <v>40</v>
      </c>
      <c r="AD61">
        <v>4</v>
      </c>
      <c r="AE61" t="s">
        <v>41</v>
      </c>
      <c r="AF61" t="s">
        <v>41</v>
      </c>
      <c r="AG61" t="s">
        <v>23</v>
      </c>
      <c r="AH61" t="s">
        <v>42</v>
      </c>
      <c r="AI61" t="s">
        <v>46</v>
      </c>
      <c r="AJ61" t="s">
        <v>47</v>
      </c>
      <c r="AK61" t="s">
        <v>43</v>
      </c>
      <c r="AL61" t="s">
        <v>44</v>
      </c>
      <c r="AM61" t="s">
        <v>45</v>
      </c>
      <c r="AN61" t="s">
        <v>41</v>
      </c>
    </row>
    <row r="62" spans="1:40" x14ac:dyDescent="0.25">
      <c r="A62">
        <v>2</v>
      </c>
      <c r="B62">
        <v>896</v>
      </c>
      <c r="C62" t="s">
        <v>225</v>
      </c>
      <c r="D62">
        <v>2</v>
      </c>
      <c r="E62">
        <v>96148</v>
      </c>
      <c r="F62">
        <v>0</v>
      </c>
      <c r="G62">
        <v>1</v>
      </c>
      <c r="H62">
        <v>5</v>
      </c>
      <c r="I62">
        <v>50</v>
      </c>
      <c r="J62">
        <v>514</v>
      </c>
      <c r="K62">
        <v>4</v>
      </c>
      <c r="L62">
        <v>0</v>
      </c>
      <c r="M62">
        <v>237</v>
      </c>
      <c r="N62" t="s">
        <v>38</v>
      </c>
      <c r="O62">
        <v>3</v>
      </c>
      <c r="P62" s="1">
        <v>46134</v>
      </c>
      <c r="Q62" s="1">
        <v>46135</v>
      </c>
      <c r="R62" s="1">
        <v>46139</v>
      </c>
      <c r="S62">
        <v>2075.4</v>
      </c>
      <c r="T62">
        <v>2075.4</v>
      </c>
      <c r="U62">
        <v>2075.4</v>
      </c>
      <c r="V62">
        <v>3612009293</v>
      </c>
      <c r="W62">
        <v>3</v>
      </c>
      <c r="X62" t="s">
        <v>23</v>
      </c>
      <c r="Y62" t="s">
        <v>39</v>
      </c>
      <c r="Z62">
        <v>0</v>
      </c>
      <c r="AA62">
        <v>73</v>
      </c>
      <c r="AB62">
        <v>3</v>
      </c>
      <c r="AC62" t="s">
        <v>40</v>
      </c>
      <c r="AD62">
        <v>3</v>
      </c>
      <c r="AE62" t="s">
        <v>41</v>
      </c>
      <c r="AF62" t="s">
        <v>41</v>
      </c>
      <c r="AG62" t="s">
        <v>23</v>
      </c>
      <c r="AH62" t="s">
        <v>42</v>
      </c>
      <c r="AI62" t="s">
        <v>46</v>
      </c>
      <c r="AJ62" t="s">
        <v>47</v>
      </c>
      <c r="AK62" t="s">
        <v>43</v>
      </c>
      <c r="AL62" t="s">
        <v>44</v>
      </c>
      <c r="AM62" t="s">
        <v>45</v>
      </c>
      <c r="AN62" t="s">
        <v>41</v>
      </c>
    </row>
    <row r="63" spans="1:40" x14ac:dyDescent="0.25">
      <c r="A63">
        <v>2</v>
      </c>
      <c r="B63">
        <v>1001</v>
      </c>
      <c r="C63" t="s">
        <v>151</v>
      </c>
      <c r="D63">
        <v>2</v>
      </c>
      <c r="E63">
        <v>95527</v>
      </c>
      <c r="F63">
        <v>0</v>
      </c>
      <c r="G63">
        <v>1</v>
      </c>
      <c r="H63">
        <v>5</v>
      </c>
      <c r="I63">
        <v>50</v>
      </c>
      <c r="J63">
        <v>514</v>
      </c>
      <c r="K63">
        <v>4</v>
      </c>
      <c r="L63">
        <v>0</v>
      </c>
      <c r="M63">
        <v>237</v>
      </c>
      <c r="N63" t="s">
        <v>38</v>
      </c>
      <c r="O63">
        <v>3</v>
      </c>
      <c r="P63" s="1">
        <v>46129</v>
      </c>
      <c r="Q63" s="1">
        <v>46130</v>
      </c>
      <c r="R63" s="1">
        <v>46139</v>
      </c>
      <c r="S63">
        <v>418.73</v>
      </c>
      <c r="T63">
        <v>418.73</v>
      </c>
      <c r="U63">
        <v>418.73</v>
      </c>
      <c r="V63">
        <v>3612009203</v>
      </c>
      <c r="W63">
        <v>8</v>
      </c>
      <c r="X63" t="s">
        <v>23</v>
      </c>
      <c r="Y63" t="s">
        <v>39</v>
      </c>
      <c r="Z63">
        <v>0</v>
      </c>
      <c r="AA63">
        <v>75</v>
      </c>
      <c r="AB63">
        <v>4</v>
      </c>
      <c r="AC63" t="s">
        <v>40</v>
      </c>
      <c r="AD63">
        <v>4</v>
      </c>
      <c r="AE63" t="s">
        <v>41</v>
      </c>
      <c r="AF63" t="s">
        <v>41</v>
      </c>
      <c r="AG63" t="s">
        <v>23</v>
      </c>
      <c r="AH63" t="s">
        <v>42</v>
      </c>
      <c r="AI63" t="s">
        <v>46</v>
      </c>
      <c r="AJ63" t="s">
        <v>47</v>
      </c>
      <c r="AK63" t="s">
        <v>43</v>
      </c>
      <c r="AL63" t="s">
        <v>44</v>
      </c>
      <c r="AM63" t="s">
        <v>45</v>
      </c>
      <c r="AN63" t="s">
        <v>41</v>
      </c>
    </row>
    <row r="64" spans="1:40" x14ac:dyDescent="0.25">
      <c r="A64">
        <v>2</v>
      </c>
      <c r="B64">
        <v>1102</v>
      </c>
      <c r="C64" t="s">
        <v>226</v>
      </c>
      <c r="D64">
        <v>2</v>
      </c>
      <c r="E64">
        <v>96136</v>
      </c>
      <c r="F64">
        <v>0</v>
      </c>
      <c r="G64">
        <v>1</v>
      </c>
      <c r="H64">
        <v>5</v>
      </c>
      <c r="I64">
        <v>50</v>
      </c>
      <c r="J64">
        <v>515</v>
      </c>
      <c r="K64">
        <v>4</v>
      </c>
      <c r="L64">
        <v>0</v>
      </c>
      <c r="M64">
        <v>237</v>
      </c>
      <c r="N64" t="s">
        <v>38</v>
      </c>
      <c r="O64">
        <v>3</v>
      </c>
      <c r="P64" s="1">
        <v>46134</v>
      </c>
      <c r="Q64" s="1">
        <v>46135</v>
      </c>
      <c r="R64" s="1">
        <v>46139</v>
      </c>
      <c r="S64">
        <v>4842.7299999999996</v>
      </c>
      <c r="T64">
        <v>4842.7299999999996</v>
      </c>
      <c r="U64">
        <v>4842.7299999999996</v>
      </c>
      <c r="V64">
        <v>3612009290</v>
      </c>
      <c r="W64">
        <v>9</v>
      </c>
      <c r="X64" t="s">
        <v>23</v>
      </c>
      <c r="Y64" t="s">
        <v>39</v>
      </c>
      <c r="Z64">
        <v>0</v>
      </c>
      <c r="AA64">
        <v>73</v>
      </c>
      <c r="AB64">
        <v>3</v>
      </c>
      <c r="AC64" t="s">
        <v>40</v>
      </c>
      <c r="AD64">
        <v>3</v>
      </c>
      <c r="AE64" t="s">
        <v>41</v>
      </c>
      <c r="AF64" t="s">
        <v>41</v>
      </c>
      <c r="AG64" t="s">
        <v>23</v>
      </c>
      <c r="AH64" t="s">
        <v>42</v>
      </c>
      <c r="AI64" t="s">
        <v>46</v>
      </c>
      <c r="AJ64" t="s">
        <v>47</v>
      </c>
      <c r="AK64" t="s">
        <v>43</v>
      </c>
      <c r="AL64" t="s">
        <v>44</v>
      </c>
      <c r="AM64" t="s">
        <v>45</v>
      </c>
      <c r="AN64" t="s">
        <v>41</v>
      </c>
    </row>
    <row r="65" spans="1:40" x14ac:dyDescent="0.25">
      <c r="A65">
        <v>2</v>
      </c>
      <c r="B65">
        <v>2192</v>
      </c>
      <c r="C65" t="s">
        <v>227</v>
      </c>
      <c r="D65">
        <v>2</v>
      </c>
      <c r="E65">
        <v>96264</v>
      </c>
      <c r="F65">
        <v>0</v>
      </c>
      <c r="G65">
        <v>1</v>
      </c>
      <c r="H65">
        <v>1</v>
      </c>
      <c r="I65">
        <v>10</v>
      </c>
      <c r="J65">
        <v>104</v>
      </c>
      <c r="K65">
        <v>4</v>
      </c>
      <c r="L65">
        <v>0</v>
      </c>
      <c r="M65">
        <v>237</v>
      </c>
      <c r="N65" t="s">
        <v>38</v>
      </c>
      <c r="O65">
        <v>3</v>
      </c>
      <c r="P65" s="1">
        <v>46134</v>
      </c>
      <c r="Q65" s="1">
        <v>46135</v>
      </c>
      <c r="R65" s="1">
        <v>46139</v>
      </c>
      <c r="S65">
        <v>444.07</v>
      </c>
      <c r="T65">
        <v>444.07</v>
      </c>
      <c r="U65">
        <v>444.07</v>
      </c>
      <c r="V65">
        <v>3612009320</v>
      </c>
      <c r="W65">
        <v>4</v>
      </c>
      <c r="X65" t="s">
        <v>23</v>
      </c>
      <c r="Y65" t="s">
        <v>39</v>
      </c>
      <c r="Z65">
        <v>0</v>
      </c>
      <c r="AA65">
        <v>73</v>
      </c>
      <c r="AB65">
        <v>4</v>
      </c>
      <c r="AC65" t="s">
        <v>40</v>
      </c>
      <c r="AD65">
        <v>4</v>
      </c>
      <c r="AE65" t="s">
        <v>41</v>
      </c>
      <c r="AF65" t="s">
        <v>41</v>
      </c>
      <c r="AG65" t="s">
        <v>23</v>
      </c>
      <c r="AH65" t="s">
        <v>42</v>
      </c>
      <c r="AI65" t="s">
        <v>46</v>
      </c>
      <c r="AJ65" t="s">
        <v>47</v>
      </c>
      <c r="AK65" t="s">
        <v>43</v>
      </c>
      <c r="AL65" t="s">
        <v>44</v>
      </c>
      <c r="AM65" t="s">
        <v>45</v>
      </c>
      <c r="AN65" t="s">
        <v>41</v>
      </c>
    </row>
    <row r="66" spans="1:40" x14ac:dyDescent="0.25">
      <c r="A66">
        <v>2</v>
      </c>
      <c r="B66">
        <v>2235</v>
      </c>
      <c r="C66" t="s">
        <v>152</v>
      </c>
      <c r="D66">
        <v>2</v>
      </c>
      <c r="E66">
        <v>95555</v>
      </c>
      <c r="F66">
        <v>0</v>
      </c>
      <c r="G66">
        <v>1</v>
      </c>
      <c r="H66">
        <v>1</v>
      </c>
      <c r="I66">
        <v>10</v>
      </c>
      <c r="J66">
        <v>104</v>
      </c>
      <c r="K66">
        <v>4</v>
      </c>
      <c r="L66">
        <v>0</v>
      </c>
      <c r="M66">
        <v>237</v>
      </c>
      <c r="N66" t="s">
        <v>38</v>
      </c>
      <c r="O66">
        <v>3</v>
      </c>
      <c r="P66" s="1">
        <v>46129</v>
      </c>
      <c r="Q66" s="1">
        <v>46130</v>
      </c>
      <c r="R66" s="1">
        <v>46139</v>
      </c>
      <c r="S66">
        <v>58.84</v>
      </c>
      <c r="T66">
        <v>58.84</v>
      </c>
      <c r="U66">
        <v>58.84</v>
      </c>
      <c r="V66">
        <v>3612009208</v>
      </c>
      <c r="W66">
        <v>9</v>
      </c>
      <c r="X66" t="s">
        <v>23</v>
      </c>
      <c r="Y66" t="s">
        <v>39</v>
      </c>
      <c r="Z66">
        <v>0</v>
      </c>
      <c r="AA66">
        <v>75</v>
      </c>
      <c r="AB66">
        <v>6</v>
      </c>
      <c r="AC66" t="s">
        <v>40</v>
      </c>
      <c r="AD66">
        <v>6</v>
      </c>
      <c r="AE66" t="s">
        <v>41</v>
      </c>
      <c r="AF66" t="s">
        <v>41</v>
      </c>
      <c r="AG66" t="s">
        <v>23</v>
      </c>
      <c r="AH66" t="s">
        <v>42</v>
      </c>
      <c r="AI66" t="s">
        <v>46</v>
      </c>
      <c r="AJ66" t="s">
        <v>47</v>
      </c>
      <c r="AK66" t="s">
        <v>43</v>
      </c>
      <c r="AL66" t="s">
        <v>44</v>
      </c>
      <c r="AM66" t="s">
        <v>45</v>
      </c>
      <c r="AN66" t="s">
        <v>41</v>
      </c>
    </row>
    <row r="67" spans="1:40" x14ac:dyDescent="0.25">
      <c r="A67">
        <v>2</v>
      </c>
      <c r="B67">
        <v>2392</v>
      </c>
      <c r="C67" t="s">
        <v>124</v>
      </c>
      <c r="D67">
        <v>2</v>
      </c>
      <c r="E67">
        <v>95562</v>
      </c>
      <c r="F67">
        <v>0</v>
      </c>
      <c r="G67">
        <v>1</v>
      </c>
      <c r="H67">
        <v>1</v>
      </c>
      <c r="I67">
        <v>10</v>
      </c>
      <c r="J67">
        <v>104</v>
      </c>
      <c r="K67">
        <v>4</v>
      </c>
      <c r="L67">
        <v>0</v>
      </c>
      <c r="M67">
        <v>237</v>
      </c>
      <c r="N67" t="s">
        <v>38</v>
      </c>
      <c r="O67">
        <v>3</v>
      </c>
      <c r="P67" s="1">
        <v>46129</v>
      </c>
      <c r="Q67" s="1">
        <v>46130</v>
      </c>
      <c r="R67" s="1">
        <v>46139</v>
      </c>
      <c r="S67">
        <v>139.54</v>
      </c>
      <c r="T67">
        <v>139.54</v>
      </c>
      <c r="U67">
        <v>139.54</v>
      </c>
      <c r="V67">
        <v>3612009210</v>
      </c>
      <c r="W67">
        <v>0</v>
      </c>
      <c r="X67" t="s">
        <v>23</v>
      </c>
      <c r="Y67" t="s">
        <v>39</v>
      </c>
      <c r="Z67">
        <v>0</v>
      </c>
      <c r="AA67">
        <v>73</v>
      </c>
      <c r="AB67">
        <v>4</v>
      </c>
      <c r="AC67" t="s">
        <v>40</v>
      </c>
      <c r="AD67">
        <v>4</v>
      </c>
      <c r="AE67" t="s">
        <v>41</v>
      </c>
      <c r="AF67" t="s">
        <v>41</v>
      </c>
      <c r="AG67" t="s">
        <v>23</v>
      </c>
      <c r="AH67" t="s">
        <v>42</v>
      </c>
      <c r="AI67" t="s">
        <v>46</v>
      </c>
      <c r="AJ67" t="s">
        <v>47</v>
      </c>
      <c r="AK67" t="s">
        <v>43</v>
      </c>
      <c r="AL67" t="s">
        <v>44</v>
      </c>
      <c r="AM67" t="s">
        <v>45</v>
      </c>
      <c r="AN67" t="s">
        <v>41</v>
      </c>
    </row>
    <row r="68" spans="1:40" x14ac:dyDescent="0.25">
      <c r="A68">
        <v>2</v>
      </c>
      <c r="B68">
        <v>2516</v>
      </c>
      <c r="C68" t="s">
        <v>186</v>
      </c>
      <c r="D68">
        <v>2</v>
      </c>
      <c r="E68">
        <v>95499</v>
      </c>
      <c r="F68">
        <v>0</v>
      </c>
      <c r="G68">
        <v>1</v>
      </c>
      <c r="H68">
        <v>5</v>
      </c>
      <c r="I68">
        <v>50</v>
      </c>
      <c r="J68">
        <v>512</v>
      </c>
      <c r="K68">
        <v>4</v>
      </c>
      <c r="L68">
        <v>0</v>
      </c>
      <c r="M68">
        <v>237</v>
      </c>
      <c r="N68" t="s">
        <v>38</v>
      </c>
      <c r="O68">
        <v>3</v>
      </c>
      <c r="P68" s="1">
        <v>46129</v>
      </c>
      <c r="Q68" s="1">
        <v>46130</v>
      </c>
      <c r="R68" s="1">
        <v>46139</v>
      </c>
      <c r="S68">
        <v>876.37</v>
      </c>
      <c r="T68">
        <v>876.37</v>
      </c>
      <c r="U68">
        <v>876.37</v>
      </c>
      <c r="V68">
        <v>3612009196</v>
      </c>
      <c r="W68">
        <v>1</v>
      </c>
      <c r="X68" t="s">
        <v>23</v>
      </c>
      <c r="Y68" t="s">
        <v>39</v>
      </c>
      <c r="Z68">
        <v>0</v>
      </c>
      <c r="AA68">
        <v>75</v>
      </c>
      <c r="AB68">
        <v>5</v>
      </c>
      <c r="AC68" t="s">
        <v>40</v>
      </c>
      <c r="AD68">
        <v>5</v>
      </c>
      <c r="AE68" t="s">
        <v>41</v>
      </c>
      <c r="AF68" t="s">
        <v>41</v>
      </c>
      <c r="AG68" t="s">
        <v>23</v>
      </c>
      <c r="AH68" t="s">
        <v>42</v>
      </c>
      <c r="AI68" t="s">
        <v>46</v>
      </c>
      <c r="AJ68" t="s">
        <v>47</v>
      </c>
      <c r="AK68" t="s">
        <v>43</v>
      </c>
      <c r="AL68" t="s">
        <v>44</v>
      </c>
      <c r="AM68" t="s">
        <v>45</v>
      </c>
      <c r="AN68" t="s">
        <v>41</v>
      </c>
    </row>
    <row r="69" spans="1:40" x14ac:dyDescent="0.25">
      <c r="A69">
        <v>2</v>
      </c>
      <c r="B69">
        <v>2531</v>
      </c>
      <c r="C69" t="s">
        <v>228</v>
      </c>
      <c r="D69">
        <v>2</v>
      </c>
      <c r="E69">
        <v>96154</v>
      </c>
      <c r="F69">
        <v>0</v>
      </c>
      <c r="G69">
        <v>1</v>
      </c>
      <c r="H69">
        <v>5</v>
      </c>
      <c r="I69">
        <v>50</v>
      </c>
      <c r="J69">
        <v>512</v>
      </c>
      <c r="K69">
        <v>4</v>
      </c>
      <c r="L69">
        <v>0</v>
      </c>
      <c r="M69">
        <v>237</v>
      </c>
      <c r="N69" t="s">
        <v>38</v>
      </c>
      <c r="O69">
        <v>3</v>
      </c>
      <c r="P69" s="1">
        <v>46134</v>
      </c>
      <c r="Q69" s="1">
        <v>46135</v>
      </c>
      <c r="R69" s="1">
        <v>46139</v>
      </c>
      <c r="S69">
        <v>297.5</v>
      </c>
      <c r="T69">
        <v>297.5</v>
      </c>
      <c r="U69">
        <v>297.5</v>
      </c>
      <c r="V69">
        <v>3612009294</v>
      </c>
      <c r="W69">
        <v>1</v>
      </c>
      <c r="X69" t="s">
        <v>23</v>
      </c>
      <c r="Y69" t="s">
        <v>39</v>
      </c>
      <c r="Z69">
        <v>0</v>
      </c>
      <c r="AA69">
        <v>75</v>
      </c>
      <c r="AB69">
        <v>6</v>
      </c>
      <c r="AC69" t="s">
        <v>40</v>
      </c>
      <c r="AD69">
        <v>6</v>
      </c>
      <c r="AE69" t="s">
        <v>41</v>
      </c>
      <c r="AF69" t="s">
        <v>41</v>
      </c>
      <c r="AG69" t="s">
        <v>23</v>
      </c>
      <c r="AH69" t="s">
        <v>42</v>
      </c>
      <c r="AI69" t="s">
        <v>46</v>
      </c>
      <c r="AJ69" t="s">
        <v>47</v>
      </c>
      <c r="AK69" t="s">
        <v>43</v>
      </c>
      <c r="AL69" t="s">
        <v>44</v>
      </c>
      <c r="AM69" t="s">
        <v>45</v>
      </c>
      <c r="AN69" t="s">
        <v>41</v>
      </c>
    </row>
    <row r="70" spans="1:40" x14ac:dyDescent="0.25">
      <c r="A70">
        <v>2</v>
      </c>
      <c r="B70">
        <v>2774</v>
      </c>
      <c r="C70" t="s">
        <v>153</v>
      </c>
      <c r="D70">
        <v>2</v>
      </c>
      <c r="E70">
        <v>95505</v>
      </c>
      <c r="F70">
        <v>0</v>
      </c>
      <c r="G70">
        <v>1</v>
      </c>
      <c r="H70">
        <v>5</v>
      </c>
      <c r="I70">
        <v>50</v>
      </c>
      <c r="J70">
        <v>512</v>
      </c>
      <c r="K70">
        <v>4</v>
      </c>
      <c r="L70">
        <v>0</v>
      </c>
      <c r="M70">
        <v>237</v>
      </c>
      <c r="N70" t="s">
        <v>38</v>
      </c>
      <c r="O70">
        <v>3</v>
      </c>
      <c r="P70" s="1">
        <v>46129</v>
      </c>
      <c r="Q70" s="1">
        <v>46130</v>
      </c>
      <c r="R70" s="1">
        <v>46139</v>
      </c>
      <c r="S70">
        <v>254.88</v>
      </c>
      <c r="T70">
        <v>254.88</v>
      </c>
      <c r="U70">
        <v>254.88</v>
      </c>
      <c r="V70">
        <v>3612009198</v>
      </c>
      <c r="W70">
        <v>8</v>
      </c>
      <c r="X70" t="s">
        <v>23</v>
      </c>
      <c r="Y70" t="s">
        <v>39</v>
      </c>
      <c r="Z70">
        <v>0</v>
      </c>
      <c r="AA70">
        <v>73</v>
      </c>
      <c r="AB70">
        <v>4</v>
      </c>
      <c r="AC70" t="s">
        <v>40</v>
      </c>
      <c r="AD70">
        <v>4</v>
      </c>
      <c r="AE70" t="s">
        <v>41</v>
      </c>
      <c r="AF70" t="s">
        <v>41</v>
      </c>
      <c r="AG70" t="s">
        <v>23</v>
      </c>
      <c r="AH70" t="s">
        <v>42</v>
      </c>
      <c r="AI70" t="s">
        <v>46</v>
      </c>
      <c r="AJ70" t="s">
        <v>47</v>
      </c>
      <c r="AK70" t="s">
        <v>43</v>
      </c>
      <c r="AL70" t="s">
        <v>44</v>
      </c>
      <c r="AM70" t="s">
        <v>45</v>
      </c>
      <c r="AN70" t="s">
        <v>41</v>
      </c>
    </row>
    <row r="71" spans="1:40" x14ac:dyDescent="0.25">
      <c r="A71">
        <v>2</v>
      </c>
      <c r="B71">
        <v>3117</v>
      </c>
      <c r="C71" t="s">
        <v>229</v>
      </c>
      <c r="D71">
        <v>2</v>
      </c>
      <c r="E71">
        <v>96169</v>
      </c>
      <c r="F71">
        <v>0</v>
      </c>
      <c r="G71">
        <v>1</v>
      </c>
      <c r="H71">
        <v>5</v>
      </c>
      <c r="I71">
        <v>50</v>
      </c>
      <c r="J71">
        <v>512</v>
      </c>
      <c r="K71">
        <v>4</v>
      </c>
      <c r="L71">
        <v>0</v>
      </c>
      <c r="M71">
        <v>237</v>
      </c>
      <c r="N71" t="s">
        <v>38</v>
      </c>
      <c r="O71">
        <v>3</v>
      </c>
      <c r="P71" s="1">
        <v>46134</v>
      </c>
      <c r="Q71" s="1">
        <v>46135</v>
      </c>
      <c r="R71" s="1">
        <v>46139</v>
      </c>
      <c r="S71">
        <v>389.22</v>
      </c>
      <c r="T71">
        <v>389.22</v>
      </c>
      <c r="U71">
        <v>389.22</v>
      </c>
      <c r="V71">
        <v>3612009300</v>
      </c>
      <c r="W71" t="s">
        <v>80</v>
      </c>
      <c r="X71" t="s">
        <v>23</v>
      </c>
      <c r="Y71" t="s">
        <v>39</v>
      </c>
      <c r="Z71">
        <v>0</v>
      </c>
      <c r="AA71">
        <v>75</v>
      </c>
      <c r="AB71">
        <v>4</v>
      </c>
      <c r="AC71" t="s">
        <v>40</v>
      </c>
      <c r="AD71">
        <v>4</v>
      </c>
      <c r="AE71" t="s">
        <v>41</v>
      </c>
      <c r="AF71" t="s">
        <v>41</v>
      </c>
      <c r="AG71" t="s">
        <v>23</v>
      </c>
      <c r="AH71" t="s">
        <v>42</v>
      </c>
      <c r="AI71" t="s">
        <v>46</v>
      </c>
      <c r="AJ71" t="s">
        <v>47</v>
      </c>
      <c r="AK71" t="s">
        <v>43</v>
      </c>
      <c r="AL71" t="s">
        <v>44</v>
      </c>
      <c r="AM71" t="s">
        <v>45</v>
      </c>
      <c r="AN71" t="s">
        <v>41</v>
      </c>
    </row>
    <row r="72" spans="1:40" x14ac:dyDescent="0.25">
      <c r="A72">
        <v>2</v>
      </c>
      <c r="B72">
        <v>3197</v>
      </c>
      <c r="C72" t="s">
        <v>132</v>
      </c>
      <c r="D72">
        <v>2</v>
      </c>
      <c r="E72">
        <v>95523</v>
      </c>
      <c r="F72">
        <v>0</v>
      </c>
      <c r="G72">
        <v>1</v>
      </c>
      <c r="H72">
        <v>5</v>
      </c>
      <c r="I72">
        <v>50</v>
      </c>
      <c r="J72">
        <v>515</v>
      </c>
      <c r="K72">
        <v>4</v>
      </c>
      <c r="L72">
        <v>0</v>
      </c>
      <c r="M72">
        <v>237</v>
      </c>
      <c r="N72" t="s">
        <v>38</v>
      </c>
      <c r="O72">
        <v>3</v>
      </c>
      <c r="P72" s="1">
        <v>46129</v>
      </c>
      <c r="Q72" s="1">
        <v>46130</v>
      </c>
      <c r="R72" s="1">
        <v>46139</v>
      </c>
      <c r="S72">
        <v>1027.1199999999999</v>
      </c>
      <c r="T72">
        <v>1027.1199999999999</v>
      </c>
      <c r="U72">
        <v>1027.1199999999999</v>
      </c>
      <c r="V72">
        <v>3612009202</v>
      </c>
      <c r="W72" t="s">
        <v>80</v>
      </c>
      <c r="X72" t="s">
        <v>23</v>
      </c>
      <c r="Y72" t="s">
        <v>39</v>
      </c>
      <c r="Z72">
        <v>0</v>
      </c>
      <c r="AA72">
        <v>75</v>
      </c>
      <c r="AB72">
        <v>3</v>
      </c>
      <c r="AC72" t="s">
        <v>40</v>
      </c>
      <c r="AD72">
        <v>3</v>
      </c>
      <c r="AE72" t="s">
        <v>41</v>
      </c>
      <c r="AF72" t="s">
        <v>41</v>
      </c>
      <c r="AG72" t="s">
        <v>23</v>
      </c>
      <c r="AH72" t="s">
        <v>42</v>
      </c>
      <c r="AI72" t="s">
        <v>46</v>
      </c>
      <c r="AJ72" t="s">
        <v>47</v>
      </c>
      <c r="AK72" t="s">
        <v>43</v>
      </c>
      <c r="AL72" t="s">
        <v>44</v>
      </c>
      <c r="AM72" t="s">
        <v>45</v>
      </c>
      <c r="AN72" t="s">
        <v>41</v>
      </c>
    </row>
    <row r="73" spans="1:40" x14ac:dyDescent="0.25">
      <c r="A73">
        <v>2</v>
      </c>
      <c r="B73">
        <v>3299</v>
      </c>
      <c r="C73" t="s">
        <v>187</v>
      </c>
      <c r="D73">
        <v>2</v>
      </c>
      <c r="E73">
        <v>95501</v>
      </c>
      <c r="F73">
        <v>0</v>
      </c>
      <c r="G73">
        <v>1</v>
      </c>
      <c r="H73">
        <v>5</v>
      </c>
      <c r="I73">
        <v>50</v>
      </c>
      <c r="J73">
        <v>512</v>
      </c>
      <c r="K73">
        <v>4</v>
      </c>
      <c r="L73">
        <v>0</v>
      </c>
      <c r="M73">
        <v>237</v>
      </c>
      <c r="N73" t="s">
        <v>38</v>
      </c>
      <c r="O73">
        <v>3</v>
      </c>
      <c r="P73" s="1">
        <v>46129</v>
      </c>
      <c r="Q73" s="1">
        <v>46130</v>
      </c>
      <c r="R73" s="1">
        <v>46139</v>
      </c>
      <c r="S73">
        <v>732.73</v>
      </c>
      <c r="T73">
        <v>732.73</v>
      </c>
      <c r="U73">
        <v>732.73</v>
      </c>
      <c r="V73">
        <v>3612009197</v>
      </c>
      <c r="W73" t="s">
        <v>80</v>
      </c>
      <c r="X73" t="s">
        <v>23</v>
      </c>
      <c r="Y73" t="s">
        <v>39</v>
      </c>
      <c r="Z73">
        <v>0</v>
      </c>
      <c r="AA73">
        <v>75</v>
      </c>
      <c r="AB73">
        <v>5</v>
      </c>
      <c r="AC73" t="s">
        <v>40</v>
      </c>
      <c r="AD73">
        <v>5</v>
      </c>
      <c r="AE73" t="s">
        <v>41</v>
      </c>
      <c r="AF73" t="s">
        <v>41</v>
      </c>
      <c r="AG73" t="s">
        <v>23</v>
      </c>
      <c r="AH73" t="s">
        <v>42</v>
      </c>
      <c r="AI73" t="s">
        <v>46</v>
      </c>
      <c r="AJ73" t="s">
        <v>47</v>
      </c>
      <c r="AK73" t="s">
        <v>43</v>
      </c>
      <c r="AL73" t="s">
        <v>44</v>
      </c>
      <c r="AM73" t="s">
        <v>45</v>
      </c>
      <c r="AN73" t="s">
        <v>41</v>
      </c>
    </row>
    <row r="74" spans="1:40" x14ac:dyDescent="0.25">
      <c r="A74">
        <v>2</v>
      </c>
      <c r="B74">
        <v>3326</v>
      </c>
      <c r="C74" t="s">
        <v>195</v>
      </c>
      <c r="D74">
        <v>2</v>
      </c>
      <c r="E74">
        <v>95780</v>
      </c>
      <c r="F74">
        <v>0</v>
      </c>
      <c r="G74">
        <v>1</v>
      </c>
      <c r="H74">
        <v>5</v>
      </c>
      <c r="I74">
        <v>50</v>
      </c>
      <c r="J74">
        <v>511</v>
      </c>
      <c r="K74">
        <v>4</v>
      </c>
      <c r="L74">
        <v>0</v>
      </c>
      <c r="M74">
        <v>237</v>
      </c>
      <c r="N74" t="s">
        <v>38</v>
      </c>
      <c r="O74">
        <v>3</v>
      </c>
      <c r="P74" s="1">
        <v>46130</v>
      </c>
      <c r="Q74" s="1">
        <v>46132</v>
      </c>
      <c r="R74" s="1">
        <v>46139</v>
      </c>
      <c r="S74">
        <v>508.01</v>
      </c>
      <c r="T74">
        <v>508.01</v>
      </c>
      <c r="U74">
        <v>508.01</v>
      </c>
      <c r="V74">
        <v>3612009232</v>
      </c>
      <c r="W74">
        <v>1</v>
      </c>
      <c r="X74" t="s">
        <v>23</v>
      </c>
      <c r="Y74" t="s">
        <v>39</v>
      </c>
      <c r="Z74">
        <v>0</v>
      </c>
      <c r="AA74">
        <v>75</v>
      </c>
      <c r="AB74">
        <v>4</v>
      </c>
      <c r="AC74" t="s">
        <v>40</v>
      </c>
      <c r="AD74">
        <v>4</v>
      </c>
      <c r="AE74" t="s">
        <v>41</v>
      </c>
      <c r="AF74" t="s">
        <v>41</v>
      </c>
      <c r="AG74" t="s">
        <v>23</v>
      </c>
      <c r="AH74" t="s">
        <v>42</v>
      </c>
      <c r="AI74" t="s">
        <v>46</v>
      </c>
      <c r="AJ74" t="s">
        <v>47</v>
      </c>
      <c r="AK74" t="s">
        <v>43</v>
      </c>
      <c r="AL74" t="s">
        <v>44</v>
      </c>
      <c r="AM74" t="s">
        <v>45</v>
      </c>
      <c r="AN74" t="s">
        <v>41</v>
      </c>
    </row>
    <row r="75" spans="1:40" x14ac:dyDescent="0.25">
      <c r="A75">
        <v>2</v>
      </c>
      <c r="B75">
        <v>3332</v>
      </c>
      <c r="C75" t="s">
        <v>188</v>
      </c>
      <c r="D75">
        <v>2</v>
      </c>
      <c r="E75">
        <v>95603</v>
      </c>
      <c r="F75">
        <v>0</v>
      </c>
      <c r="G75">
        <v>1</v>
      </c>
      <c r="H75">
        <v>1</v>
      </c>
      <c r="I75">
        <v>10</v>
      </c>
      <c r="J75">
        <v>102</v>
      </c>
      <c r="K75">
        <v>4</v>
      </c>
      <c r="L75">
        <v>0</v>
      </c>
      <c r="M75">
        <v>237</v>
      </c>
      <c r="N75" t="s">
        <v>38</v>
      </c>
      <c r="O75">
        <v>3</v>
      </c>
      <c r="P75" s="1">
        <v>46129</v>
      </c>
      <c r="Q75" s="1">
        <v>46130</v>
      </c>
      <c r="R75" s="1">
        <v>46139</v>
      </c>
      <c r="S75">
        <v>910.34</v>
      </c>
      <c r="T75">
        <v>910.34</v>
      </c>
      <c r="U75">
        <v>910.34</v>
      </c>
      <c r="V75">
        <v>3612009218</v>
      </c>
      <c r="W75">
        <v>6</v>
      </c>
      <c r="X75" t="s">
        <v>23</v>
      </c>
      <c r="Y75" t="s">
        <v>39</v>
      </c>
      <c r="Z75">
        <v>0</v>
      </c>
      <c r="AA75">
        <v>72</v>
      </c>
      <c r="AB75">
        <v>3</v>
      </c>
      <c r="AC75" t="s">
        <v>40</v>
      </c>
      <c r="AD75">
        <v>3</v>
      </c>
      <c r="AE75" t="s">
        <v>41</v>
      </c>
      <c r="AF75" t="s">
        <v>41</v>
      </c>
      <c r="AG75" t="s">
        <v>23</v>
      </c>
      <c r="AH75" t="s">
        <v>42</v>
      </c>
      <c r="AI75" t="s">
        <v>46</v>
      </c>
      <c r="AJ75" t="s">
        <v>47</v>
      </c>
      <c r="AK75" t="s">
        <v>43</v>
      </c>
      <c r="AL75" t="s">
        <v>44</v>
      </c>
      <c r="AM75" t="s">
        <v>45</v>
      </c>
      <c r="AN75" t="s">
        <v>41</v>
      </c>
    </row>
    <row r="76" spans="1:40" x14ac:dyDescent="0.25">
      <c r="A76">
        <v>2</v>
      </c>
      <c r="B76">
        <v>3364</v>
      </c>
      <c r="C76" t="s">
        <v>196</v>
      </c>
      <c r="D76">
        <v>2</v>
      </c>
      <c r="E76">
        <v>95710</v>
      </c>
      <c r="F76">
        <v>0</v>
      </c>
      <c r="G76">
        <v>1</v>
      </c>
      <c r="H76">
        <v>5</v>
      </c>
      <c r="I76">
        <v>50</v>
      </c>
      <c r="J76">
        <v>512</v>
      </c>
      <c r="K76">
        <v>4</v>
      </c>
      <c r="L76">
        <v>0</v>
      </c>
      <c r="M76">
        <v>237</v>
      </c>
      <c r="N76" t="s">
        <v>38</v>
      </c>
      <c r="O76">
        <v>3</v>
      </c>
      <c r="P76" s="1">
        <v>46130</v>
      </c>
      <c r="Q76" s="1">
        <v>46132</v>
      </c>
      <c r="R76" s="1">
        <v>46139</v>
      </c>
      <c r="S76">
        <v>279.75</v>
      </c>
      <c r="T76">
        <v>279.75</v>
      </c>
      <c r="U76">
        <v>279.75</v>
      </c>
      <c r="V76">
        <v>3612009227</v>
      </c>
      <c r="W76">
        <v>5</v>
      </c>
      <c r="X76" t="s">
        <v>23</v>
      </c>
      <c r="Y76" t="s">
        <v>39</v>
      </c>
      <c r="Z76">
        <v>0</v>
      </c>
      <c r="AA76">
        <v>73</v>
      </c>
      <c r="AB76">
        <v>4</v>
      </c>
      <c r="AC76" t="s">
        <v>40</v>
      </c>
      <c r="AD76">
        <v>4</v>
      </c>
      <c r="AE76" t="s">
        <v>41</v>
      </c>
      <c r="AF76" t="s">
        <v>41</v>
      </c>
      <c r="AG76" t="s">
        <v>23</v>
      </c>
      <c r="AH76" t="s">
        <v>42</v>
      </c>
      <c r="AI76" t="s">
        <v>46</v>
      </c>
      <c r="AJ76" t="s">
        <v>47</v>
      </c>
      <c r="AK76" t="s">
        <v>43</v>
      </c>
      <c r="AL76" t="s">
        <v>44</v>
      </c>
      <c r="AM76" t="s">
        <v>45</v>
      </c>
      <c r="AN76" t="s">
        <v>41</v>
      </c>
    </row>
    <row r="77" spans="1:40" x14ac:dyDescent="0.25">
      <c r="A77">
        <v>2</v>
      </c>
      <c r="B77">
        <v>3373</v>
      </c>
      <c r="C77" t="s">
        <v>154</v>
      </c>
      <c r="D77">
        <v>2</v>
      </c>
      <c r="E77">
        <v>95543</v>
      </c>
      <c r="F77">
        <v>0</v>
      </c>
      <c r="G77">
        <v>1</v>
      </c>
      <c r="H77">
        <v>5</v>
      </c>
      <c r="I77">
        <v>50</v>
      </c>
      <c r="J77">
        <v>511</v>
      </c>
      <c r="K77">
        <v>4</v>
      </c>
      <c r="L77">
        <v>0</v>
      </c>
      <c r="M77">
        <v>237</v>
      </c>
      <c r="N77" t="s">
        <v>38</v>
      </c>
      <c r="O77">
        <v>3</v>
      </c>
      <c r="P77" s="1">
        <v>46129</v>
      </c>
      <c r="Q77" s="1">
        <v>46130</v>
      </c>
      <c r="R77" s="1">
        <v>46139</v>
      </c>
      <c r="S77">
        <v>284.5</v>
      </c>
      <c r="T77">
        <v>284.5</v>
      </c>
      <c r="U77">
        <v>284.5</v>
      </c>
      <c r="V77">
        <v>3612009207</v>
      </c>
      <c r="W77">
        <v>0</v>
      </c>
      <c r="X77" t="s">
        <v>23</v>
      </c>
      <c r="Y77" t="s">
        <v>39</v>
      </c>
      <c r="Z77">
        <v>0</v>
      </c>
      <c r="AA77">
        <v>75</v>
      </c>
      <c r="AB77">
        <v>5</v>
      </c>
      <c r="AC77" t="s">
        <v>40</v>
      </c>
      <c r="AD77">
        <v>5</v>
      </c>
      <c r="AE77" t="s">
        <v>41</v>
      </c>
      <c r="AF77" t="s">
        <v>41</v>
      </c>
      <c r="AG77" t="s">
        <v>23</v>
      </c>
      <c r="AH77" t="s">
        <v>42</v>
      </c>
      <c r="AI77" t="s">
        <v>46</v>
      </c>
      <c r="AJ77" t="s">
        <v>47</v>
      </c>
      <c r="AK77" t="s">
        <v>43</v>
      </c>
      <c r="AL77" t="s">
        <v>44</v>
      </c>
      <c r="AM77" t="s">
        <v>45</v>
      </c>
      <c r="AN77" t="s">
        <v>41</v>
      </c>
    </row>
    <row r="78" spans="1:40" x14ac:dyDescent="0.25">
      <c r="A78">
        <v>2</v>
      </c>
      <c r="B78">
        <v>3405</v>
      </c>
      <c r="C78" t="s">
        <v>155</v>
      </c>
      <c r="D78">
        <v>2</v>
      </c>
      <c r="E78">
        <v>95520</v>
      </c>
      <c r="F78">
        <v>0</v>
      </c>
      <c r="G78">
        <v>1</v>
      </c>
      <c r="H78">
        <v>5</v>
      </c>
      <c r="I78">
        <v>50</v>
      </c>
      <c r="J78">
        <v>511</v>
      </c>
      <c r="K78">
        <v>4</v>
      </c>
      <c r="L78">
        <v>0</v>
      </c>
      <c r="M78">
        <v>237</v>
      </c>
      <c r="N78" t="s">
        <v>38</v>
      </c>
      <c r="O78">
        <v>3</v>
      </c>
      <c r="P78" s="1">
        <v>46129</v>
      </c>
      <c r="Q78" s="1">
        <v>46130</v>
      </c>
      <c r="R78" s="1">
        <v>46139</v>
      </c>
      <c r="S78">
        <v>333.92</v>
      </c>
      <c r="T78">
        <v>333.92</v>
      </c>
      <c r="U78">
        <v>333.92</v>
      </c>
      <c r="V78">
        <v>3612009200</v>
      </c>
      <c r="W78">
        <v>3</v>
      </c>
      <c r="X78" t="s">
        <v>23</v>
      </c>
      <c r="Y78" t="s">
        <v>39</v>
      </c>
      <c r="Z78">
        <v>0</v>
      </c>
      <c r="AA78">
        <v>73</v>
      </c>
      <c r="AB78">
        <v>4</v>
      </c>
      <c r="AC78" t="s">
        <v>40</v>
      </c>
      <c r="AD78">
        <v>4</v>
      </c>
      <c r="AE78" t="s">
        <v>41</v>
      </c>
      <c r="AF78" t="s">
        <v>41</v>
      </c>
      <c r="AG78" t="s">
        <v>23</v>
      </c>
      <c r="AH78" t="s">
        <v>42</v>
      </c>
      <c r="AI78" t="s">
        <v>46</v>
      </c>
      <c r="AJ78" t="s">
        <v>47</v>
      </c>
      <c r="AK78" t="s">
        <v>43</v>
      </c>
      <c r="AL78" t="s">
        <v>44</v>
      </c>
      <c r="AM78" t="s">
        <v>45</v>
      </c>
      <c r="AN78" t="s">
        <v>41</v>
      </c>
    </row>
    <row r="79" spans="1:40" x14ac:dyDescent="0.25">
      <c r="A79">
        <v>2</v>
      </c>
      <c r="B79">
        <v>3452</v>
      </c>
      <c r="C79" t="s">
        <v>123</v>
      </c>
      <c r="D79">
        <v>2</v>
      </c>
      <c r="E79">
        <v>95532</v>
      </c>
      <c r="F79">
        <v>0</v>
      </c>
      <c r="G79">
        <v>1</v>
      </c>
      <c r="H79">
        <v>5</v>
      </c>
      <c r="I79">
        <v>50</v>
      </c>
      <c r="J79">
        <v>514</v>
      </c>
      <c r="K79">
        <v>4</v>
      </c>
      <c r="L79">
        <v>0</v>
      </c>
      <c r="M79">
        <v>237</v>
      </c>
      <c r="N79" t="s">
        <v>38</v>
      </c>
      <c r="O79">
        <v>3</v>
      </c>
      <c r="P79" s="1">
        <v>46129</v>
      </c>
      <c r="Q79" s="1">
        <v>46130</v>
      </c>
      <c r="R79" s="1">
        <v>46139</v>
      </c>
      <c r="S79">
        <v>283.38</v>
      </c>
      <c r="T79">
        <v>283.38</v>
      </c>
      <c r="U79">
        <v>283.38</v>
      </c>
      <c r="V79">
        <v>3612009205</v>
      </c>
      <c r="W79">
        <v>4</v>
      </c>
      <c r="X79" t="s">
        <v>23</v>
      </c>
      <c r="Y79" t="s">
        <v>39</v>
      </c>
      <c r="Z79">
        <v>0</v>
      </c>
      <c r="AA79">
        <v>75</v>
      </c>
      <c r="AB79">
        <v>3</v>
      </c>
      <c r="AC79" t="s">
        <v>40</v>
      </c>
      <c r="AD79">
        <v>3</v>
      </c>
      <c r="AE79" t="s">
        <v>41</v>
      </c>
      <c r="AF79" t="s">
        <v>41</v>
      </c>
      <c r="AG79" t="s">
        <v>23</v>
      </c>
      <c r="AH79" t="s">
        <v>42</v>
      </c>
      <c r="AI79" t="s">
        <v>46</v>
      </c>
      <c r="AJ79" t="s">
        <v>47</v>
      </c>
      <c r="AK79" t="s">
        <v>43</v>
      </c>
      <c r="AL79" t="s">
        <v>44</v>
      </c>
      <c r="AM79" t="s">
        <v>45</v>
      </c>
      <c r="AN79" t="s">
        <v>41</v>
      </c>
    </row>
    <row r="80" spans="1:40" x14ac:dyDescent="0.25">
      <c r="A80">
        <v>2</v>
      </c>
      <c r="B80">
        <v>3460</v>
      </c>
      <c r="C80" t="s">
        <v>90</v>
      </c>
      <c r="D80">
        <v>2</v>
      </c>
      <c r="E80">
        <v>95645</v>
      </c>
      <c r="F80">
        <v>0</v>
      </c>
      <c r="G80">
        <v>1</v>
      </c>
      <c r="H80">
        <v>1</v>
      </c>
      <c r="I80">
        <v>10</v>
      </c>
      <c r="J80">
        <v>102</v>
      </c>
      <c r="K80">
        <v>4</v>
      </c>
      <c r="L80">
        <v>0</v>
      </c>
      <c r="M80">
        <v>237</v>
      </c>
      <c r="N80" t="s">
        <v>38</v>
      </c>
      <c r="O80">
        <v>3</v>
      </c>
      <c r="P80" s="1">
        <v>46129</v>
      </c>
      <c r="Q80" s="1">
        <v>46130</v>
      </c>
      <c r="R80" s="1">
        <v>46139</v>
      </c>
      <c r="S80">
        <v>1120.01</v>
      </c>
      <c r="T80">
        <v>1120.01</v>
      </c>
      <c r="U80">
        <v>1120.01</v>
      </c>
      <c r="V80">
        <v>3612009222</v>
      </c>
      <c r="W80">
        <v>4</v>
      </c>
      <c r="X80" t="s">
        <v>23</v>
      </c>
      <c r="Y80" t="s">
        <v>39</v>
      </c>
      <c r="Z80">
        <v>0</v>
      </c>
      <c r="AA80">
        <v>75</v>
      </c>
      <c r="AB80">
        <v>4</v>
      </c>
      <c r="AC80" t="s">
        <v>40</v>
      </c>
      <c r="AD80">
        <v>4</v>
      </c>
      <c r="AE80" t="s">
        <v>41</v>
      </c>
      <c r="AF80" t="s">
        <v>41</v>
      </c>
      <c r="AG80" t="s">
        <v>23</v>
      </c>
      <c r="AH80" t="s">
        <v>42</v>
      </c>
      <c r="AI80" t="s">
        <v>46</v>
      </c>
      <c r="AJ80" t="s">
        <v>47</v>
      </c>
      <c r="AK80" t="s">
        <v>43</v>
      </c>
      <c r="AL80" t="s">
        <v>44</v>
      </c>
      <c r="AM80" t="s">
        <v>45</v>
      </c>
      <c r="AN80" t="s">
        <v>41</v>
      </c>
    </row>
    <row r="81" spans="1:40" x14ac:dyDescent="0.25">
      <c r="A81">
        <v>2</v>
      </c>
      <c r="B81">
        <v>3489</v>
      </c>
      <c r="C81" t="s">
        <v>157</v>
      </c>
      <c r="D81">
        <v>2</v>
      </c>
      <c r="E81">
        <v>95522</v>
      </c>
      <c r="F81">
        <v>0</v>
      </c>
      <c r="G81">
        <v>1</v>
      </c>
      <c r="H81">
        <v>5</v>
      </c>
      <c r="I81">
        <v>50</v>
      </c>
      <c r="J81">
        <v>511</v>
      </c>
      <c r="K81">
        <v>4</v>
      </c>
      <c r="L81">
        <v>0</v>
      </c>
      <c r="M81">
        <v>237</v>
      </c>
      <c r="N81" t="s">
        <v>38</v>
      </c>
      <c r="O81">
        <v>3</v>
      </c>
      <c r="P81" s="1">
        <v>46129</v>
      </c>
      <c r="Q81" s="1">
        <v>46130</v>
      </c>
      <c r="R81" s="1">
        <v>46139</v>
      </c>
      <c r="S81">
        <v>286.69</v>
      </c>
      <c r="T81">
        <v>286.69</v>
      </c>
      <c r="U81">
        <v>286.69</v>
      </c>
      <c r="V81">
        <v>3612009201</v>
      </c>
      <c r="W81">
        <v>1</v>
      </c>
      <c r="X81" t="s">
        <v>23</v>
      </c>
      <c r="Y81" t="s">
        <v>39</v>
      </c>
      <c r="Z81">
        <v>0</v>
      </c>
      <c r="AA81">
        <v>75</v>
      </c>
      <c r="AB81">
        <v>4</v>
      </c>
      <c r="AC81" t="s">
        <v>40</v>
      </c>
      <c r="AD81">
        <v>4</v>
      </c>
      <c r="AE81" t="s">
        <v>41</v>
      </c>
      <c r="AF81" t="s">
        <v>41</v>
      </c>
      <c r="AG81" t="s">
        <v>23</v>
      </c>
      <c r="AH81" t="s">
        <v>42</v>
      </c>
      <c r="AI81" t="s">
        <v>46</v>
      </c>
      <c r="AJ81" t="s">
        <v>47</v>
      </c>
      <c r="AK81" t="s">
        <v>43</v>
      </c>
      <c r="AL81" t="s">
        <v>44</v>
      </c>
      <c r="AM81" t="s">
        <v>45</v>
      </c>
      <c r="AN81" t="s">
        <v>41</v>
      </c>
    </row>
    <row r="82" spans="1:40" x14ac:dyDescent="0.25">
      <c r="A82">
        <v>2</v>
      </c>
      <c r="B82">
        <v>3521</v>
      </c>
      <c r="C82" t="s">
        <v>158</v>
      </c>
      <c r="D82">
        <v>2</v>
      </c>
      <c r="E82">
        <v>95519</v>
      </c>
      <c r="F82">
        <v>0</v>
      </c>
      <c r="G82">
        <v>1</v>
      </c>
      <c r="H82">
        <v>5</v>
      </c>
      <c r="I82">
        <v>50</v>
      </c>
      <c r="J82">
        <v>511</v>
      </c>
      <c r="K82">
        <v>4</v>
      </c>
      <c r="L82">
        <v>0</v>
      </c>
      <c r="M82">
        <v>237</v>
      </c>
      <c r="N82" t="s">
        <v>38</v>
      </c>
      <c r="O82">
        <v>3</v>
      </c>
      <c r="P82" s="1">
        <v>46129</v>
      </c>
      <c r="Q82" s="1">
        <v>46130</v>
      </c>
      <c r="R82" s="1">
        <v>46139</v>
      </c>
      <c r="S82">
        <v>227.5</v>
      </c>
      <c r="T82">
        <v>227.5</v>
      </c>
      <c r="U82">
        <v>227.5</v>
      </c>
      <c r="V82">
        <v>3612009199</v>
      </c>
      <c r="W82">
        <v>6</v>
      </c>
      <c r="X82" t="s">
        <v>23</v>
      </c>
      <c r="Y82" t="s">
        <v>39</v>
      </c>
      <c r="Z82">
        <v>0</v>
      </c>
      <c r="AA82">
        <v>75</v>
      </c>
      <c r="AB82">
        <v>4</v>
      </c>
      <c r="AC82" t="s">
        <v>40</v>
      </c>
      <c r="AD82">
        <v>4</v>
      </c>
      <c r="AE82" t="s">
        <v>41</v>
      </c>
      <c r="AF82" t="s">
        <v>41</v>
      </c>
      <c r="AG82" t="s">
        <v>23</v>
      </c>
      <c r="AH82" t="s">
        <v>42</v>
      </c>
      <c r="AI82" t="s">
        <v>46</v>
      </c>
      <c r="AJ82" t="s">
        <v>47</v>
      </c>
      <c r="AK82" t="s">
        <v>43</v>
      </c>
      <c r="AL82" t="s">
        <v>44</v>
      </c>
      <c r="AM82" t="s">
        <v>45</v>
      </c>
      <c r="AN82" t="s">
        <v>41</v>
      </c>
    </row>
    <row r="83" spans="1:40" x14ac:dyDescent="0.25">
      <c r="A83">
        <v>2</v>
      </c>
      <c r="B83">
        <v>3537</v>
      </c>
      <c r="C83" t="s">
        <v>189</v>
      </c>
      <c r="D83">
        <v>2</v>
      </c>
      <c r="E83">
        <v>95490</v>
      </c>
      <c r="F83">
        <v>0</v>
      </c>
      <c r="G83">
        <v>1</v>
      </c>
      <c r="H83">
        <v>5</v>
      </c>
      <c r="I83">
        <v>50</v>
      </c>
      <c r="J83">
        <v>512</v>
      </c>
      <c r="K83">
        <v>4</v>
      </c>
      <c r="L83">
        <v>0</v>
      </c>
      <c r="M83">
        <v>237</v>
      </c>
      <c r="N83" t="s">
        <v>38</v>
      </c>
      <c r="O83">
        <v>3</v>
      </c>
      <c r="P83" s="1">
        <v>46129</v>
      </c>
      <c r="Q83" s="1">
        <v>46130</v>
      </c>
      <c r="R83" s="1">
        <v>46139</v>
      </c>
      <c r="S83">
        <v>995.58</v>
      </c>
      <c r="T83">
        <v>995.58</v>
      </c>
      <c r="U83">
        <v>995.58</v>
      </c>
      <c r="V83">
        <v>3612009195</v>
      </c>
      <c r="W83">
        <v>3</v>
      </c>
      <c r="X83" t="s">
        <v>23</v>
      </c>
      <c r="Y83" t="s">
        <v>39</v>
      </c>
      <c r="Z83">
        <v>0</v>
      </c>
      <c r="AA83">
        <v>75</v>
      </c>
      <c r="AB83">
        <v>4</v>
      </c>
      <c r="AC83" t="s">
        <v>40</v>
      </c>
      <c r="AD83">
        <v>4</v>
      </c>
      <c r="AE83" t="s">
        <v>41</v>
      </c>
      <c r="AF83" t="s">
        <v>41</v>
      </c>
      <c r="AG83" t="s">
        <v>23</v>
      </c>
      <c r="AH83" t="s">
        <v>42</v>
      </c>
      <c r="AI83" t="s">
        <v>46</v>
      </c>
      <c r="AJ83" t="s">
        <v>47</v>
      </c>
      <c r="AK83" t="s">
        <v>43</v>
      </c>
      <c r="AL83" t="s">
        <v>44</v>
      </c>
      <c r="AM83" t="s">
        <v>45</v>
      </c>
      <c r="AN83" t="s">
        <v>41</v>
      </c>
    </row>
    <row r="84" spans="1:40" x14ac:dyDescent="0.25">
      <c r="A84">
        <v>2</v>
      </c>
      <c r="B84">
        <v>3567</v>
      </c>
      <c r="C84" t="s">
        <v>159</v>
      </c>
      <c r="D84">
        <v>2</v>
      </c>
      <c r="E84">
        <v>95537</v>
      </c>
      <c r="F84">
        <v>0</v>
      </c>
      <c r="G84">
        <v>1</v>
      </c>
      <c r="H84">
        <v>5</v>
      </c>
      <c r="I84">
        <v>50</v>
      </c>
      <c r="J84">
        <v>514</v>
      </c>
      <c r="K84">
        <v>4</v>
      </c>
      <c r="L84">
        <v>0</v>
      </c>
      <c r="M84">
        <v>237</v>
      </c>
      <c r="N84" t="s">
        <v>38</v>
      </c>
      <c r="O84">
        <v>3</v>
      </c>
      <c r="P84" s="1">
        <v>46129</v>
      </c>
      <c r="Q84" s="1">
        <v>46130</v>
      </c>
      <c r="R84" s="1">
        <v>46139</v>
      </c>
      <c r="S84">
        <v>150.5</v>
      </c>
      <c r="T84">
        <v>150.5</v>
      </c>
      <c r="U84">
        <v>150.5</v>
      </c>
      <c r="V84">
        <v>3612009206</v>
      </c>
      <c r="W84">
        <v>2</v>
      </c>
      <c r="X84" t="s">
        <v>23</v>
      </c>
      <c r="Y84" t="s">
        <v>39</v>
      </c>
      <c r="Z84">
        <v>0</v>
      </c>
      <c r="AA84">
        <v>75</v>
      </c>
      <c r="AB84">
        <v>4</v>
      </c>
      <c r="AC84" t="s">
        <v>40</v>
      </c>
      <c r="AD84">
        <v>4</v>
      </c>
      <c r="AE84" t="s">
        <v>41</v>
      </c>
      <c r="AF84" t="s">
        <v>41</v>
      </c>
      <c r="AG84" t="s">
        <v>23</v>
      </c>
      <c r="AH84" t="s">
        <v>42</v>
      </c>
      <c r="AI84" t="s">
        <v>46</v>
      </c>
      <c r="AJ84" t="s">
        <v>47</v>
      </c>
      <c r="AK84" t="s">
        <v>43</v>
      </c>
      <c r="AL84" t="s">
        <v>44</v>
      </c>
      <c r="AM84" t="s">
        <v>45</v>
      </c>
      <c r="AN84" t="s">
        <v>41</v>
      </c>
    </row>
    <row r="85" spans="1:40" x14ac:dyDescent="0.25">
      <c r="A85">
        <v>2</v>
      </c>
      <c r="B85">
        <v>3577</v>
      </c>
      <c r="C85" t="s">
        <v>190</v>
      </c>
      <c r="D85">
        <v>2</v>
      </c>
      <c r="E85">
        <v>95698</v>
      </c>
      <c r="F85">
        <v>0</v>
      </c>
      <c r="G85">
        <v>1</v>
      </c>
      <c r="H85">
        <v>5</v>
      </c>
      <c r="I85">
        <v>50</v>
      </c>
      <c r="J85">
        <v>513</v>
      </c>
      <c r="K85">
        <v>4</v>
      </c>
      <c r="L85">
        <v>0</v>
      </c>
      <c r="M85">
        <v>237</v>
      </c>
      <c r="N85" t="s">
        <v>38</v>
      </c>
      <c r="O85">
        <v>3</v>
      </c>
      <c r="P85" s="1">
        <v>46129</v>
      </c>
      <c r="Q85" s="1">
        <v>46130</v>
      </c>
      <c r="R85" s="1">
        <v>46139</v>
      </c>
      <c r="S85">
        <v>164.21</v>
      </c>
      <c r="T85">
        <v>164.21</v>
      </c>
      <c r="U85">
        <v>164.21</v>
      </c>
      <c r="V85">
        <v>3612009226</v>
      </c>
      <c r="W85">
        <v>7</v>
      </c>
      <c r="X85" t="s">
        <v>23</v>
      </c>
      <c r="Y85" t="s">
        <v>39</v>
      </c>
      <c r="Z85">
        <v>0</v>
      </c>
      <c r="AA85">
        <v>73</v>
      </c>
      <c r="AB85">
        <v>4</v>
      </c>
      <c r="AC85" t="s">
        <v>40</v>
      </c>
      <c r="AD85">
        <v>4</v>
      </c>
      <c r="AE85" t="s">
        <v>41</v>
      </c>
      <c r="AF85" t="s">
        <v>41</v>
      </c>
      <c r="AG85" t="s">
        <v>23</v>
      </c>
      <c r="AH85" t="s">
        <v>42</v>
      </c>
      <c r="AI85" t="s">
        <v>46</v>
      </c>
      <c r="AJ85" t="s">
        <v>47</v>
      </c>
      <c r="AK85" t="s">
        <v>43</v>
      </c>
      <c r="AL85" t="s">
        <v>44</v>
      </c>
      <c r="AM85" t="s">
        <v>45</v>
      </c>
      <c r="AN85" t="s">
        <v>41</v>
      </c>
    </row>
    <row r="86" spans="1:40" x14ac:dyDescent="0.25">
      <c r="A86">
        <v>2</v>
      </c>
      <c r="B86">
        <v>3644</v>
      </c>
      <c r="C86" t="s">
        <v>197</v>
      </c>
      <c r="D86">
        <v>2</v>
      </c>
      <c r="E86">
        <v>95711</v>
      </c>
      <c r="F86">
        <v>0</v>
      </c>
      <c r="G86">
        <v>1</v>
      </c>
      <c r="H86">
        <v>5</v>
      </c>
      <c r="I86">
        <v>50</v>
      </c>
      <c r="J86">
        <v>512</v>
      </c>
      <c r="K86">
        <v>4</v>
      </c>
      <c r="L86">
        <v>0</v>
      </c>
      <c r="M86">
        <v>237</v>
      </c>
      <c r="N86" t="s">
        <v>38</v>
      </c>
      <c r="O86">
        <v>3</v>
      </c>
      <c r="P86" s="1">
        <v>46130</v>
      </c>
      <c r="Q86" s="1">
        <v>46132</v>
      </c>
      <c r="R86" s="1">
        <v>46139</v>
      </c>
      <c r="S86">
        <v>60.89</v>
      </c>
      <c r="T86">
        <v>60.89</v>
      </c>
      <c r="U86">
        <v>60.89</v>
      </c>
      <c r="V86">
        <v>3612009228</v>
      </c>
      <c r="W86">
        <v>3</v>
      </c>
      <c r="X86" t="s">
        <v>23</v>
      </c>
      <c r="Y86" t="s">
        <v>39</v>
      </c>
      <c r="Z86">
        <v>0</v>
      </c>
      <c r="AA86">
        <v>75</v>
      </c>
      <c r="AB86">
        <v>4</v>
      </c>
      <c r="AC86" t="s">
        <v>40</v>
      </c>
      <c r="AD86">
        <v>4</v>
      </c>
      <c r="AE86" t="s">
        <v>41</v>
      </c>
      <c r="AF86" t="s">
        <v>41</v>
      </c>
      <c r="AG86" t="s">
        <v>23</v>
      </c>
      <c r="AH86" t="s">
        <v>42</v>
      </c>
      <c r="AI86" t="s">
        <v>46</v>
      </c>
      <c r="AJ86" t="s">
        <v>47</v>
      </c>
      <c r="AK86" t="s">
        <v>43</v>
      </c>
      <c r="AL86" t="s">
        <v>44</v>
      </c>
      <c r="AM86" t="s">
        <v>45</v>
      </c>
      <c r="AN86" t="s">
        <v>41</v>
      </c>
    </row>
    <row r="87" spans="1:40" x14ac:dyDescent="0.25">
      <c r="A87">
        <v>2</v>
      </c>
      <c r="B87">
        <v>3655</v>
      </c>
      <c r="C87" t="s">
        <v>134</v>
      </c>
      <c r="D87">
        <v>2</v>
      </c>
      <c r="E87">
        <v>95597</v>
      </c>
      <c r="F87">
        <v>0</v>
      </c>
      <c r="G87">
        <v>1</v>
      </c>
      <c r="H87">
        <v>1</v>
      </c>
      <c r="I87">
        <v>10</v>
      </c>
      <c r="J87">
        <v>102</v>
      </c>
      <c r="K87">
        <v>4</v>
      </c>
      <c r="L87">
        <v>0</v>
      </c>
      <c r="M87">
        <v>237</v>
      </c>
      <c r="N87" t="s">
        <v>38</v>
      </c>
      <c r="O87">
        <v>3</v>
      </c>
      <c r="P87" s="1">
        <v>46129</v>
      </c>
      <c r="Q87" s="1">
        <v>46130</v>
      </c>
      <c r="R87" s="1">
        <v>46139</v>
      </c>
      <c r="S87">
        <v>200.31</v>
      </c>
      <c r="T87">
        <v>200.31</v>
      </c>
      <c r="U87">
        <v>200.31</v>
      </c>
      <c r="V87">
        <v>3612009216</v>
      </c>
      <c r="W87" t="s">
        <v>80</v>
      </c>
      <c r="X87" t="s">
        <v>23</v>
      </c>
      <c r="Y87" t="s">
        <v>39</v>
      </c>
      <c r="Z87">
        <v>0</v>
      </c>
      <c r="AA87">
        <v>75</v>
      </c>
      <c r="AB87">
        <v>4</v>
      </c>
      <c r="AC87" t="s">
        <v>40</v>
      </c>
      <c r="AD87">
        <v>4</v>
      </c>
      <c r="AE87" t="s">
        <v>41</v>
      </c>
      <c r="AF87" t="s">
        <v>41</v>
      </c>
      <c r="AG87" t="s">
        <v>23</v>
      </c>
      <c r="AH87" t="s">
        <v>42</v>
      </c>
      <c r="AI87" t="s">
        <v>46</v>
      </c>
      <c r="AJ87" t="s">
        <v>47</v>
      </c>
      <c r="AK87" t="s">
        <v>43</v>
      </c>
      <c r="AL87" t="s">
        <v>44</v>
      </c>
      <c r="AM87" t="s">
        <v>45</v>
      </c>
      <c r="AN87" t="s">
        <v>41</v>
      </c>
    </row>
    <row r="88" spans="1:40" x14ac:dyDescent="0.25">
      <c r="A88">
        <v>2</v>
      </c>
      <c r="B88">
        <v>3655</v>
      </c>
      <c r="C88" t="s">
        <v>134</v>
      </c>
      <c r="D88">
        <v>2</v>
      </c>
      <c r="E88">
        <v>95598</v>
      </c>
      <c r="F88">
        <v>0</v>
      </c>
      <c r="G88">
        <v>1</v>
      </c>
      <c r="H88">
        <v>1</v>
      </c>
      <c r="I88">
        <v>10</v>
      </c>
      <c r="J88">
        <v>102</v>
      </c>
      <c r="K88">
        <v>4</v>
      </c>
      <c r="L88">
        <v>0</v>
      </c>
      <c r="M88">
        <v>237</v>
      </c>
      <c r="N88" t="s">
        <v>38</v>
      </c>
      <c r="O88">
        <v>3</v>
      </c>
      <c r="P88" s="1">
        <v>46129</v>
      </c>
      <c r="Q88" s="1">
        <v>46130</v>
      </c>
      <c r="R88" s="1">
        <v>46139</v>
      </c>
      <c r="S88">
        <v>291.93</v>
      </c>
      <c r="T88">
        <v>291.93</v>
      </c>
      <c r="U88">
        <v>291.93</v>
      </c>
      <c r="V88">
        <v>3612009217</v>
      </c>
      <c r="W88">
        <v>8</v>
      </c>
      <c r="X88" t="s">
        <v>23</v>
      </c>
      <c r="Y88" t="s">
        <v>39</v>
      </c>
      <c r="Z88">
        <v>0</v>
      </c>
      <c r="AA88">
        <v>75</v>
      </c>
      <c r="AB88">
        <v>4</v>
      </c>
      <c r="AC88" t="s">
        <v>40</v>
      </c>
      <c r="AD88">
        <v>4</v>
      </c>
      <c r="AE88" t="s">
        <v>41</v>
      </c>
      <c r="AF88" t="s">
        <v>41</v>
      </c>
      <c r="AG88" t="s">
        <v>23</v>
      </c>
      <c r="AH88" t="s">
        <v>42</v>
      </c>
      <c r="AI88" t="s">
        <v>46</v>
      </c>
      <c r="AJ88" t="s">
        <v>47</v>
      </c>
      <c r="AK88" t="s">
        <v>43</v>
      </c>
      <c r="AL88" t="s">
        <v>44</v>
      </c>
      <c r="AM88" t="s">
        <v>45</v>
      </c>
      <c r="AN88" t="s">
        <v>41</v>
      </c>
    </row>
    <row r="89" spans="1:40" x14ac:dyDescent="0.25">
      <c r="A89">
        <v>2</v>
      </c>
      <c r="B89">
        <v>3661</v>
      </c>
      <c r="C89" t="s">
        <v>230</v>
      </c>
      <c r="D89">
        <v>2</v>
      </c>
      <c r="E89">
        <v>96161</v>
      </c>
      <c r="F89">
        <v>0</v>
      </c>
      <c r="G89">
        <v>1</v>
      </c>
      <c r="H89">
        <v>5</v>
      </c>
      <c r="I89">
        <v>50</v>
      </c>
      <c r="J89">
        <v>512</v>
      </c>
      <c r="K89">
        <v>4</v>
      </c>
      <c r="L89">
        <v>0</v>
      </c>
      <c r="M89">
        <v>237</v>
      </c>
      <c r="N89" t="s">
        <v>38</v>
      </c>
      <c r="O89">
        <v>3</v>
      </c>
      <c r="P89" s="1">
        <v>46134</v>
      </c>
      <c r="Q89" s="1">
        <v>46135</v>
      </c>
      <c r="R89" s="1">
        <v>46139</v>
      </c>
      <c r="S89">
        <v>1405.37</v>
      </c>
      <c r="T89">
        <v>1405.37</v>
      </c>
      <c r="U89">
        <v>1405.37</v>
      </c>
      <c r="V89">
        <v>3612009297</v>
      </c>
      <c r="W89">
        <v>6</v>
      </c>
      <c r="X89" t="s">
        <v>23</v>
      </c>
      <c r="Y89" t="s">
        <v>39</v>
      </c>
      <c r="Z89">
        <v>0</v>
      </c>
      <c r="AA89">
        <v>75</v>
      </c>
      <c r="AB89">
        <v>3</v>
      </c>
      <c r="AC89" t="s">
        <v>40</v>
      </c>
      <c r="AD89">
        <v>3</v>
      </c>
      <c r="AE89" t="s">
        <v>41</v>
      </c>
      <c r="AF89" t="s">
        <v>41</v>
      </c>
      <c r="AG89" t="s">
        <v>23</v>
      </c>
      <c r="AH89" t="s">
        <v>42</v>
      </c>
      <c r="AI89" t="s">
        <v>46</v>
      </c>
      <c r="AJ89" t="s">
        <v>47</v>
      </c>
      <c r="AK89" t="s">
        <v>43</v>
      </c>
      <c r="AL89" t="s">
        <v>44</v>
      </c>
      <c r="AM89" t="s">
        <v>45</v>
      </c>
      <c r="AN89" t="s">
        <v>41</v>
      </c>
    </row>
    <row r="90" spans="1:40" x14ac:dyDescent="0.25">
      <c r="A90">
        <v>2</v>
      </c>
      <c r="B90">
        <v>3689</v>
      </c>
      <c r="C90" t="s">
        <v>125</v>
      </c>
      <c r="D90">
        <v>2</v>
      </c>
      <c r="E90">
        <v>95734</v>
      </c>
      <c r="F90">
        <v>0</v>
      </c>
      <c r="G90">
        <v>1</v>
      </c>
      <c r="H90">
        <v>1</v>
      </c>
      <c r="I90">
        <v>10</v>
      </c>
      <c r="J90">
        <v>101</v>
      </c>
      <c r="K90">
        <v>4</v>
      </c>
      <c r="L90">
        <v>0</v>
      </c>
      <c r="M90">
        <v>237</v>
      </c>
      <c r="N90" t="s">
        <v>38</v>
      </c>
      <c r="O90">
        <v>3</v>
      </c>
      <c r="P90" s="1">
        <v>46130</v>
      </c>
      <c r="Q90" s="1">
        <v>46132</v>
      </c>
      <c r="R90" s="1">
        <v>46139</v>
      </c>
      <c r="S90">
        <v>593.65</v>
      </c>
      <c r="T90">
        <v>593.65</v>
      </c>
      <c r="U90">
        <v>593.65</v>
      </c>
      <c r="V90">
        <v>3612009230</v>
      </c>
      <c r="W90">
        <v>5</v>
      </c>
      <c r="X90" t="s">
        <v>23</v>
      </c>
      <c r="Y90" t="s">
        <v>39</v>
      </c>
      <c r="Z90">
        <v>0</v>
      </c>
      <c r="AA90">
        <v>75</v>
      </c>
      <c r="AB90">
        <v>4</v>
      </c>
      <c r="AC90" t="s">
        <v>40</v>
      </c>
      <c r="AD90">
        <v>4</v>
      </c>
      <c r="AE90" t="s">
        <v>41</v>
      </c>
      <c r="AF90" t="s">
        <v>41</v>
      </c>
      <c r="AG90" t="s">
        <v>23</v>
      </c>
      <c r="AH90" t="s">
        <v>42</v>
      </c>
      <c r="AI90" t="s">
        <v>46</v>
      </c>
      <c r="AJ90" t="s">
        <v>47</v>
      </c>
      <c r="AK90" t="s">
        <v>43</v>
      </c>
      <c r="AL90" t="s">
        <v>44</v>
      </c>
      <c r="AM90" t="s">
        <v>45</v>
      </c>
      <c r="AN90" t="s">
        <v>41</v>
      </c>
    </row>
    <row r="91" spans="1:40" x14ac:dyDescent="0.25">
      <c r="A91">
        <v>2</v>
      </c>
      <c r="B91">
        <v>3789</v>
      </c>
      <c r="C91" t="s">
        <v>135</v>
      </c>
      <c r="D91">
        <v>2</v>
      </c>
      <c r="E91">
        <v>95628</v>
      </c>
      <c r="F91">
        <v>0</v>
      </c>
      <c r="G91">
        <v>1</v>
      </c>
      <c r="H91">
        <v>1</v>
      </c>
      <c r="I91">
        <v>10</v>
      </c>
      <c r="J91">
        <v>101</v>
      </c>
      <c r="K91">
        <v>4</v>
      </c>
      <c r="L91">
        <v>0</v>
      </c>
      <c r="M91">
        <v>237</v>
      </c>
      <c r="N91" t="s">
        <v>38</v>
      </c>
      <c r="O91">
        <v>3</v>
      </c>
      <c r="P91" s="1">
        <v>46129</v>
      </c>
      <c r="Q91" s="1">
        <v>46130</v>
      </c>
      <c r="R91" s="1">
        <v>46139</v>
      </c>
      <c r="S91">
        <v>1623.56</v>
      </c>
      <c r="T91">
        <v>1623.56</v>
      </c>
      <c r="U91">
        <v>1623.56</v>
      </c>
      <c r="V91">
        <v>3612009220</v>
      </c>
      <c r="W91">
        <v>8</v>
      </c>
      <c r="X91" t="s">
        <v>23</v>
      </c>
      <c r="Y91" t="s">
        <v>39</v>
      </c>
      <c r="Z91">
        <v>0</v>
      </c>
      <c r="AA91">
        <v>73</v>
      </c>
      <c r="AB91">
        <v>3</v>
      </c>
      <c r="AC91" t="s">
        <v>40</v>
      </c>
      <c r="AD91">
        <v>3</v>
      </c>
      <c r="AE91" t="s">
        <v>41</v>
      </c>
      <c r="AF91" t="s">
        <v>41</v>
      </c>
      <c r="AG91" t="s">
        <v>23</v>
      </c>
      <c r="AH91" t="s">
        <v>42</v>
      </c>
      <c r="AI91" t="s">
        <v>46</v>
      </c>
      <c r="AJ91" t="s">
        <v>47</v>
      </c>
      <c r="AK91" t="s">
        <v>43</v>
      </c>
      <c r="AL91" t="s">
        <v>44</v>
      </c>
      <c r="AM91" t="s">
        <v>45</v>
      </c>
      <c r="AN91" t="s">
        <v>41</v>
      </c>
    </row>
    <row r="92" spans="1:40" x14ac:dyDescent="0.25">
      <c r="A92">
        <v>2</v>
      </c>
      <c r="B92">
        <v>3818</v>
      </c>
      <c r="C92" t="s">
        <v>198</v>
      </c>
      <c r="D92">
        <v>2</v>
      </c>
      <c r="E92">
        <v>95784</v>
      </c>
      <c r="F92">
        <v>0</v>
      </c>
      <c r="G92">
        <v>1</v>
      </c>
      <c r="H92">
        <v>5</v>
      </c>
      <c r="I92">
        <v>50</v>
      </c>
      <c r="J92">
        <v>511</v>
      </c>
      <c r="K92">
        <v>4</v>
      </c>
      <c r="L92">
        <v>0</v>
      </c>
      <c r="M92">
        <v>237</v>
      </c>
      <c r="N92" t="s">
        <v>38</v>
      </c>
      <c r="O92">
        <v>3</v>
      </c>
      <c r="P92" s="1">
        <v>46130</v>
      </c>
      <c r="Q92" s="1">
        <v>46132</v>
      </c>
      <c r="R92" s="1">
        <v>46139</v>
      </c>
      <c r="S92">
        <v>246.48</v>
      </c>
      <c r="T92">
        <v>246.48</v>
      </c>
      <c r="U92">
        <v>246.48</v>
      </c>
      <c r="V92">
        <v>3612009233</v>
      </c>
      <c r="W92" t="s">
        <v>80</v>
      </c>
      <c r="X92" t="s">
        <v>23</v>
      </c>
      <c r="Y92" t="s">
        <v>39</v>
      </c>
      <c r="Z92">
        <v>0</v>
      </c>
      <c r="AA92">
        <v>75</v>
      </c>
      <c r="AB92">
        <v>4</v>
      </c>
      <c r="AC92" t="s">
        <v>40</v>
      </c>
      <c r="AD92">
        <v>4</v>
      </c>
      <c r="AE92" t="s">
        <v>41</v>
      </c>
      <c r="AF92" t="s">
        <v>41</v>
      </c>
      <c r="AG92" t="s">
        <v>23</v>
      </c>
      <c r="AH92" t="s">
        <v>42</v>
      </c>
      <c r="AI92" t="s">
        <v>46</v>
      </c>
      <c r="AJ92" t="s">
        <v>47</v>
      </c>
      <c r="AK92" t="s">
        <v>43</v>
      </c>
      <c r="AL92" t="s">
        <v>44</v>
      </c>
      <c r="AM92" t="s">
        <v>45</v>
      </c>
      <c r="AN92" t="s">
        <v>41</v>
      </c>
    </row>
    <row r="93" spans="1:40" x14ac:dyDescent="0.25">
      <c r="A93">
        <v>2</v>
      </c>
      <c r="B93">
        <v>3840</v>
      </c>
      <c r="C93" t="s">
        <v>191</v>
      </c>
      <c r="D93">
        <v>2</v>
      </c>
      <c r="E93">
        <v>95670</v>
      </c>
      <c r="F93">
        <v>0</v>
      </c>
      <c r="G93">
        <v>1</v>
      </c>
      <c r="H93">
        <v>1</v>
      </c>
      <c r="I93">
        <v>10</v>
      </c>
      <c r="J93">
        <v>103</v>
      </c>
      <c r="K93">
        <v>4</v>
      </c>
      <c r="L93">
        <v>0</v>
      </c>
      <c r="M93">
        <v>237</v>
      </c>
      <c r="N93" t="s">
        <v>38</v>
      </c>
      <c r="O93">
        <v>3</v>
      </c>
      <c r="P93" s="1">
        <v>46129</v>
      </c>
      <c r="Q93" s="1">
        <v>46130</v>
      </c>
      <c r="R93" s="1">
        <v>46139</v>
      </c>
      <c r="S93">
        <v>786.84</v>
      </c>
      <c r="T93">
        <v>786.84</v>
      </c>
      <c r="U93">
        <v>786.84</v>
      </c>
      <c r="V93">
        <v>3612009224</v>
      </c>
      <c r="W93">
        <v>0</v>
      </c>
      <c r="X93" t="s">
        <v>23</v>
      </c>
      <c r="Y93" t="s">
        <v>39</v>
      </c>
      <c r="Z93">
        <v>0</v>
      </c>
      <c r="AA93">
        <v>75</v>
      </c>
      <c r="AB93">
        <v>5</v>
      </c>
      <c r="AC93" t="s">
        <v>40</v>
      </c>
      <c r="AD93">
        <v>5</v>
      </c>
      <c r="AE93" t="s">
        <v>41</v>
      </c>
      <c r="AF93" t="s">
        <v>41</v>
      </c>
      <c r="AG93" t="s">
        <v>23</v>
      </c>
      <c r="AH93" t="s">
        <v>42</v>
      </c>
      <c r="AI93" t="s">
        <v>46</v>
      </c>
      <c r="AJ93" t="s">
        <v>47</v>
      </c>
      <c r="AK93" t="s">
        <v>43</v>
      </c>
      <c r="AL93" t="s">
        <v>44</v>
      </c>
      <c r="AM93" t="s">
        <v>45</v>
      </c>
      <c r="AN93" t="s">
        <v>41</v>
      </c>
    </row>
    <row r="94" spans="1:40" x14ac:dyDescent="0.25">
      <c r="A94">
        <v>2</v>
      </c>
      <c r="B94">
        <v>3889</v>
      </c>
      <c r="C94" t="s">
        <v>192</v>
      </c>
      <c r="D94">
        <v>2</v>
      </c>
      <c r="E94">
        <v>95563</v>
      </c>
      <c r="F94">
        <v>0</v>
      </c>
      <c r="G94">
        <v>1</v>
      </c>
      <c r="H94">
        <v>1</v>
      </c>
      <c r="I94">
        <v>10</v>
      </c>
      <c r="J94">
        <v>104</v>
      </c>
      <c r="K94">
        <v>4</v>
      </c>
      <c r="L94">
        <v>0</v>
      </c>
      <c r="M94">
        <v>237</v>
      </c>
      <c r="N94" t="s">
        <v>38</v>
      </c>
      <c r="O94">
        <v>3</v>
      </c>
      <c r="P94" s="1">
        <v>46129</v>
      </c>
      <c r="Q94" s="1">
        <v>46130</v>
      </c>
      <c r="R94" s="1">
        <v>46139</v>
      </c>
      <c r="S94">
        <v>625.04999999999995</v>
      </c>
      <c r="T94">
        <v>625.04999999999995</v>
      </c>
      <c r="U94">
        <v>625.04999999999995</v>
      </c>
      <c r="V94">
        <v>3612009211</v>
      </c>
      <c r="W94">
        <v>9</v>
      </c>
      <c r="X94" t="s">
        <v>23</v>
      </c>
      <c r="Y94" t="s">
        <v>39</v>
      </c>
      <c r="Z94">
        <v>0</v>
      </c>
      <c r="AA94">
        <v>75</v>
      </c>
      <c r="AB94">
        <v>5</v>
      </c>
      <c r="AC94" t="s">
        <v>40</v>
      </c>
      <c r="AD94">
        <v>5</v>
      </c>
      <c r="AE94" t="s">
        <v>41</v>
      </c>
      <c r="AF94" t="s">
        <v>41</v>
      </c>
      <c r="AG94" t="s">
        <v>23</v>
      </c>
      <c r="AH94" t="s">
        <v>42</v>
      </c>
      <c r="AI94" t="s">
        <v>46</v>
      </c>
      <c r="AJ94" t="s">
        <v>47</v>
      </c>
      <c r="AK94" t="s">
        <v>43</v>
      </c>
      <c r="AL94" t="s">
        <v>44</v>
      </c>
      <c r="AM94" t="s">
        <v>45</v>
      </c>
      <c r="AN94" t="s">
        <v>41</v>
      </c>
    </row>
    <row r="95" spans="1:40" x14ac:dyDescent="0.25">
      <c r="A95">
        <v>2</v>
      </c>
      <c r="B95">
        <v>3889</v>
      </c>
      <c r="C95" t="s">
        <v>192</v>
      </c>
      <c r="D95">
        <v>2</v>
      </c>
      <c r="E95">
        <v>95564</v>
      </c>
      <c r="F95">
        <v>0</v>
      </c>
      <c r="G95">
        <v>1</v>
      </c>
      <c r="H95">
        <v>1</v>
      </c>
      <c r="I95">
        <v>10</v>
      </c>
      <c r="J95">
        <v>104</v>
      </c>
      <c r="K95">
        <v>4</v>
      </c>
      <c r="L95">
        <v>0</v>
      </c>
      <c r="M95">
        <v>237</v>
      </c>
      <c r="N95" t="s">
        <v>38</v>
      </c>
      <c r="O95">
        <v>3</v>
      </c>
      <c r="P95" s="1">
        <v>46129</v>
      </c>
      <c r="Q95" s="1">
        <v>46130</v>
      </c>
      <c r="R95" s="1">
        <v>46139</v>
      </c>
      <c r="S95">
        <v>454.02</v>
      </c>
      <c r="T95">
        <v>454.02</v>
      </c>
      <c r="U95">
        <v>454.02</v>
      </c>
      <c r="V95">
        <v>3612009212</v>
      </c>
      <c r="W95">
        <v>7</v>
      </c>
      <c r="X95" t="s">
        <v>23</v>
      </c>
      <c r="Y95" t="s">
        <v>39</v>
      </c>
      <c r="Z95">
        <v>0</v>
      </c>
      <c r="AA95">
        <v>75</v>
      </c>
      <c r="AB95">
        <v>5</v>
      </c>
      <c r="AC95" t="s">
        <v>40</v>
      </c>
      <c r="AD95">
        <v>5</v>
      </c>
      <c r="AE95" t="s">
        <v>41</v>
      </c>
      <c r="AF95" t="s">
        <v>41</v>
      </c>
      <c r="AG95" t="s">
        <v>23</v>
      </c>
      <c r="AH95" t="s">
        <v>42</v>
      </c>
      <c r="AI95" t="s">
        <v>46</v>
      </c>
      <c r="AJ95" t="s">
        <v>47</v>
      </c>
      <c r="AK95" t="s">
        <v>43</v>
      </c>
      <c r="AL95" t="s">
        <v>44</v>
      </c>
      <c r="AM95" t="s">
        <v>45</v>
      </c>
      <c r="AN95" t="s">
        <v>41</v>
      </c>
    </row>
    <row r="96" spans="1:40" x14ac:dyDescent="0.25">
      <c r="A96">
        <v>2</v>
      </c>
      <c r="B96">
        <v>4011</v>
      </c>
      <c r="C96" t="s">
        <v>203</v>
      </c>
      <c r="D96">
        <v>2</v>
      </c>
      <c r="E96">
        <v>96033</v>
      </c>
      <c r="F96">
        <v>0</v>
      </c>
      <c r="G96">
        <v>1</v>
      </c>
      <c r="H96">
        <v>1</v>
      </c>
      <c r="I96">
        <v>10</v>
      </c>
      <c r="J96">
        <v>102</v>
      </c>
      <c r="K96">
        <v>4</v>
      </c>
      <c r="L96">
        <v>0</v>
      </c>
      <c r="M96">
        <v>237</v>
      </c>
      <c r="N96" t="s">
        <v>38</v>
      </c>
      <c r="O96">
        <v>3</v>
      </c>
      <c r="P96" s="1">
        <v>46132</v>
      </c>
      <c r="Q96" s="1">
        <v>46134</v>
      </c>
      <c r="R96" s="1">
        <v>46139</v>
      </c>
      <c r="S96">
        <v>473.44</v>
      </c>
      <c r="T96">
        <v>473.44</v>
      </c>
      <c r="U96">
        <v>473.44</v>
      </c>
      <c r="V96">
        <v>3612009269</v>
      </c>
      <c r="W96">
        <v>0</v>
      </c>
      <c r="X96" t="s">
        <v>23</v>
      </c>
      <c r="Y96" t="s">
        <v>39</v>
      </c>
      <c r="Z96">
        <v>0</v>
      </c>
      <c r="AA96">
        <v>73</v>
      </c>
      <c r="AB96">
        <v>3</v>
      </c>
      <c r="AC96" t="s">
        <v>40</v>
      </c>
      <c r="AD96">
        <v>3</v>
      </c>
      <c r="AE96" t="s">
        <v>41</v>
      </c>
      <c r="AF96" t="s">
        <v>41</v>
      </c>
      <c r="AG96" t="s">
        <v>23</v>
      </c>
      <c r="AH96" t="s">
        <v>42</v>
      </c>
      <c r="AI96" t="s">
        <v>46</v>
      </c>
      <c r="AJ96" t="s">
        <v>47</v>
      </c>
      <c r="AK96" t="s">
        <v>43</v>
      </c>
      <c r="AL96" t="s">
        <v>44</v>
      </c>
      <c r="AM96" t="s">
        <v>45</v>
      </c>
      <c r="AN96" t="s">
        <v>41</v>
      </c>
    </row>
    <row r="97" spans="1:40" x14ac:dyDescent="0.25">
      <c r="A97">
        <v>2</v>
      </c>
      <c r="B97">
        <v>4038</v>
      </c>
      <c r="C97" t="s">
        <v>193</v>
      </c>
      <c r="D97">
        <v>2</v>
      </c>
      <c r="E97">
        <v>95528</v>
      </c>
      <c r="F97">
        <v>0</v>
      </c>
      <c r="G97">
        <v>1</v>
      </c>
      <c r="H97">
        <v>5</v>
      </c>
      <c r="I97">
        <v>50</v>
      </c>
      <c r="J97">
        <v>515</v>
      </c>
      <c r="K97">
        <v>4</v>
      </c>
      <c r="L97">
        <v>0</v>
      </c>
      <c r="M97">
        <v>237</v>
      </c>
      <c r="N97" t="s">
        <v>38</v>
      </c>
      <c r="O97">
        <v>3</v>
      </c>
      <c r="P97" s="1">
        <v>46129</v>
      </c>
      <c r="Q97" s="1">
        <v>46130</v>
      </c>
      <c r="R97" s="1">
        <v>46139</v>
      </c>
      <c r="S97">
        <v>975.77</v>
      </c>
      <c r="T97">
        <v>975.77</v>
      </c>
      <c r="U97">
        <v>975.77</v>
      </c>
      <c r="V97">
        <v>3612009204</v>
      </c>
      <c r="W97">
        <v>6</v>
      </c>
      <c r="X97" t="s">
        <v>23</v>
      </c>
      <c r="Y97" t="s">
        <v>39</v>
      </c>
      <c r="Z97">
        <v>0</v>
      </c>
      <c r="AA97">
        <v>75</v>
      </c>
      <c r="AB97">
        <v>3</v>
      </c>
      <c r="AC97" t="s">
        <v>40</v>
      </c>
      <c r="AD97">
        <v>3</v>
      </c>
      <c r="AE97" t="s">
        <v>41</v>
      </c>
      <c r="AF97" t="s">
        <v>41</v>
      </c>
      <c r="AG97" t="s">
        <v>23</v>
      </c>
      <c r="AH97" t="s">
        <v>42</v>
      </c>
      <c r="AI97" t="s">
        <v>46</v>
      </c>
      <c r="AJ97" t="s">
        <v>47</v>
      </c>
      <c r="AK97" t="s">
        <v>43</v>
      </c>
      <c r="AL97" t="s">
        <v>44</v>
      </c>
      <c r="AM97" t="s">
        <v>45</v>
      </c>
      <c r="AN97" t="s">
        <v>41</v>
      </c>
    </row>
    <row r="98" spans="1:40" x14ac:dyDescent="0.25">
      <c r="A98">
        <v>2</v>
      </c>
      <c r="B98">
        <v>265</v>
      </c>
      <c r="C98" t="s">
        <v>175</v>
      </c>
      <c r="D98">
        <v>2</v>
      </c>
      <c r="E98">
        <v>96331</v>
      </c>
      <c r="F98">
        <v>0</v>
      </c>
      <c r="G98">
        <v>1</v>
      </c>
      <c r="H98">
        <v>1</v>
      </c>
      <c r="I98">
        <v>10</v>
      </c>
      <c r="J98">
        <v>103</v>
      </c>
      <c r="K98">
        <v>4</v>
      </c>
      <c r="L98">
        <v>0</v>
      </c>
      <c r="M98">
        <v>237</v>
      </c>
      <c r="N98" t="s">
        <v>38</v>
      </c>
      <c r="O98">
        <v>4</v>
      </c>
      <c r="P98" s="1">
        <v>46134</v>
      </c>
      <c r="Q98" s="1">
        <v>46135</v>
      </c>
      <c r="R98" s="1">
        <v>46140</v>
      </c>
      <c r="S98">
        <v>462.8</v>
      </c>
      <c r="T98">
        <v>462.8</v>
      </c>
      <c r="U98">
        <v>462.8</v>
      </c>
      <c r="V98">
        <v>3612009325</v>
      </c>
      <c r="W98">
        <v>5</v>
      </c>
      <c r="X98" t="s">
        <v>23</v>
      </c>
      <c r="Y98" t="s">
        <v>39</v>
      </c>
      <c r="Z98">
        <v>0</v>
      </c>
      <c r="AA98">
        <v>73</v>
      </c>
      <c r="AB98">
        <v>3</v>
      </c>
      <c r="AC98" t="s">
        <v>40</v>
      </c>
      <c r="AD98">
        <v>3</v>
      </c>
      <c r="AE98" t="s">
        <v>41</v>
      </c>
      <c r="AF98" t="s">
        <v>41</v>
      </c>
      <c r="AG98" t="s">
        <v>23</v>
      </c>
      <c r="AH98" t="s">
        <v>42</v>
      </c>
      <c r="AI98" t="s">
        <v>46</v>
      </c>
      <c r="AJ98" t="s">
        <v>47</v>
      </c>
      <c r="AK98" t="s">
        <v>43</v>
      </c>
      <c r="AL98" t="s">
        <v>44</v>
      </c>
      <c r="AM98" t="s">
        <v>45</v>
      </c>
      <c r="AN98" t="s">
        <v>41</v>
      </c>
    </row>
    <row r="99" spans="1:40" x14ac:dyDescent="0.25">
      <c r="A99">
        <v>2</v>
      </c>
      <c r="B99">
        <v>1</v>
      </c>
      <c r="C99" t="s">
        <v>204</v>
      </c>
      <c r="D99">
        <v>2</v>
      </c>
      <c r="E99">
        <v>95927</v>
      </c>
      <c r="F99">
        <v>0</v>
      </c>
      <c r="G99">
        <v>1</v>
      </c>
      <c r="H99">
        <v>1</v>
      </c>
      <c r="I99">
        <v>10</v>
      </c>
      <c r="J99">
        <v>102</v>
      </c>
      <c r="K99">
        <v>4</v>
      </c>
      <c r="L99">
        <v>0</v>
      </c>
      <c r="M99">
        <v>237</v>
      </c>
      <c r="N99" t="s">
        <v>38</v>
      </c>
      <c r="O99">
        <v>5</v>
      </c>
      <c r="P99" s="1">
        <v>46132</v>
      </c>
      <c r="Q99" s="1">
        <v>46134</v>
      </c>
      <c r="R99" s="1">
        <v>46141</v>
      </c>
      <c r="S99">
        <v>193.17</v>
      </c>
      <c r="T99">
        <v>193.17</v>
      </c>
      <c r="U99">
        <v>193.17</v>
      </c>
      <c r="V99">
        <v>3612009252</v>
      </c>
      <c r="W99">
        <v>6</v>
      </c>
      <c r="X99" t="s">
        <v>23</v>
      </c>
      <c r="Y99" t="s">
        <v>39</v>
      </c>
      <c r="Z99">
        <v>0</v>
      </c>
      <c r="AA99">
        <v>73</v>
      </c>
      <c r="AB99">
        <v>3</v>
      </c>
      <c r="AC99" t="s">
        <v>40</v>
      </c>
      <c r="AD99">
        <v>3</v>
      </c>
      <c r="AE99" t="s">
        <v>41</v>
      </c>
      <c r="AF99" t="s">
        <v>41</v>
      </c>
      <c r="AG99" t="s">
        <v>23</v>
      </c>
      <c r="AH99" t="s">
        <v>42</v>
      </c>
      <c r="AI99" t="s">
        <v>46</v>
      </c>
      <c r="AJ99" t="s">
        <v>47</v>
      </c>
      <c r="AK99" t="s">
        <v>43</v>
      </c>
      <c r="AL99" t="s">
        <v>44</v>
      </c>
      <c r="AM99" t="s">
        <v>45</v>
      </c>
      <c r="AN99" t="s">
        <v>41</v>
      </c>
    </row>
    <row r="100" spans="1:40" x14ac:dyDescent="0.25">
      <c r="A100">
        <v>2</v>
      </c>
      <c r="B100">
        <v>342</v>
      </c>
      <c r="C100" t="s">
        <v>160</v>
      </c>
      <c r="D100">
        <v>2</v>
      </c>
      <c r="E100">
        <v>96006</v>
      </c>
      <c r="F100">
        <v>0</v>
      </c>
      <c r="G100">
        <v>1</v>
      </c>
      <c r="H100">
        <v>5</v>
      </c>
      <c r="I100">
        <v>50</v>
      </c>
      <c r="J100">
        <v>513</v>
      </c>
      <c r="K100">
        <v>4</v>
      </c>
      <c r="L100">
        <v>0</v>
      </c>
      <c r="M100">
        <v>237</v>
      </c>
      <c r="N100" t="s">
        <v>38</v>
      </c>
      <c r="O100">
        <v>5</v>
      </c>
      <c r="P100" s="1">
        <v>46132</v>
      </c>
      <c r="Q100" s="1">
        <v>46134</v>
      </c>
      <c r="R100" s="1">
        <v>46141</v>
      </c>
      <c r="S100">
        <v>507.44</v>
      </c>
      <c r="T100">
        <v>507.44</v>
      </c>
      <c r="U100">
        <v>507.44</v>
      </c>
      <c r="V100">
        <v>3612009266</v>
      </c>
      <c r="W100">
        <v>6</v>
      </c>
      <c r="X100" t="s">
        <v>23</v>
      </c>
      <c r="Y100" t="s">
        <v>39</v>
      </c>
      <c r="Z100">
        <v>0</v>
      </c>
      <c r="AA100">
        <v>75</v>
      </c>
      <c r="AB100">
        <v>5</v>
      </c>
      <c r="AC100" t="s">
        <v>40</v>
      </c>
      <c r="AD100">
        <v>5</v>
      </c>
      <c r="AE100" t="s">
        <v>41</v>
      </c>
      <c r="AF100" t="s">
        <v>41</v>
      </c>
      <c r="AG100" t="s">
        <v>23</v>
      </c>
      <c r="AH100" t="s">
        <v>42</v>
      </c>
      <c r="AI100" t="s">
        <v>46</v>
      </c>
      <c r="AJ100" t="s">
        <v>47</v>
      </c>
      <c r="AK100" t="s">
        <v>43</v>
      </c>
      <c r="AL100" t="s">
        <v>44</v>
      </c>
      <c r="AM100" t="s">
        <v>45</v>
      </c>
      <c r="AN100" t="s">
        <v>41</v>
      </c>
    </row>
    <row r="101" spans="1:40" x14ac:dyDescent="0.25">
      <c r="A101">
        <v>2</v>
      </c>
      <c r="B101">
        <v>379</v>
      </c>
      <c r="C101" t="s">
        <v>128</v>
      </c>
      <c r="D101">
        <v>2</v>
      </c>
      <c r="E101">
        <v>95895</v>
      </c>
      <c r="F101">
        <v>0</v>
      </c>
      <c r="G101">
        <v>1</v>
      </c>
      <c r="H101">
        <v>1</v>
      </c>
      <c r="I101">
        <v>10</v>
      </c>
      <c r="J101">
        <v>103</v>
      </c>
      <c r="K101">
        <v>4</v>
      </c>
      <c r="L101">
        <v>0</v>
      </c>
      <c r="M101">
        <v>237</v>
      </c>
      <c r="N101" t="s">
        <v>38</v>
      </c>
      <c r="O101">
        <v>5</v>
      </c>
      <c r="P101" s="1">
        <v>46132</v>
      </c>
      <c r="Q101" s="1">
        <v>46134</v>
      </c>
      <c r="R101" s="1">
        <v>46141</v>
      </c>
      <c r="S101">
        <v>5697.4</v>
      </c>
      <c r="T101">
        <v>5697.4</v>
      </c>
      <c r="U101">
        <v>5697.4</v>
      </c>
      <c r="V101">
        <v>3612009248</v>
      </c>
      <c r="W101">
        <v>8</v>
      </c>
      <c r="X101" t="s">
        <v>23</v>
      </c>
      <c r="Y101" t="s">
        <v>39</v>
      </c>
      <c r="Z101">
        <v>0</v>
      </c>
      <c r="AA101">
        <v>73</v>
      </c>
      <c r="AB101">
        <v>6</v>
      </c>
      <c r="AC101" t="s">
        <v>40</v>
      </c>
      <c r="AD101">
        <v>6</v>
      </c>
      <c r="AE101" t="s">
        <v>41</v>
      </c>
      <c r="AF101" t="s">
        <v>41</v>
      </c>
      <c r="AG101" t="s">
        <v>23</v>
      </c>
      <c r="AH101" t="s">
        <v>42</v>
      </c>
      <c r="AI101" t="s">
        <v>46</v>
      </c>
      <c r="AJ101" t="s">
        <v>47</v>
      </c>
      <c r="AK101" t="s">
        <v>43</v>
      </c>
      <c r="AL101" t="s">
        <v>44</v>
      </c>
      <c r="AM101" t="s">
        <v>45</v>
      </c>
      <c r="AN101" t="s">
        <v>41</v>
      </c>
    </row>
    <row r="102" spans="1:40" x14ac:dyDescent="0.25">
      <c r="A102">
        <v>2</v>
      </c>
      <c r="B102">
        <v>421</v>
      </c>
      <c r="C102" t="s">
        <v>161</v>
      </c>
      <c r="D102">
        <v>2</v>
      </c>
      <c r="E102">
        <v>96091</v>
      </c>
      <c r="F102">
        <v>0</v>
      </c>
      <c r="G102">
        <v>1</v>
      </c>
      <c r="H102">
        <v>1</v>
      </c>
      <c r="I102">
        <v>10</v>
      </c>
      <c r="J102">
        <v>103</v>
      </c>
      <c r="K102">
        <v>4</v>
      </c>
      <c r="L102">
        <v>0</v>
      </c>
      <c r="M102">
        <v>237</v>
      </c>
      <c r="N102" t="s">
        <v>38</v>
      </c>
      <c r="O102">
        <v>5</v>
      </c>
      <c r="P102" s="1">
        <v>46132</v>
      </c>
      <c r="Q102" s="1">
        <v>46134</v>
      </c>
      <c r="R102" s="1">
        <v>46141</v>
      </c>
      <c r="S102">
        <v>746.2</v>
      </c>
      <c r="T102">
        <v>746.2</v>
      </c>
      <c r="U102">
        <v>746.2</v>
      </c>
      <c r="V102">
        <v>3612009281</v>
      </c>
      <c r="W102" t="s">
        <v>80</v>
      </c>
      <c r="X102" t="s">
        <v>23</v>
      </c>
      <c r="Y102" t="s">
        <v>39</v>
      </c>
      <c r="Z102">
        <v>0</v>
      </c>
      <c r="AA102">
        <v>73</v>
      </c>
      <c r="AB102">
        <v>3</v>
      </c>
      <c r="AC102" t="s">
        <v>40</v>
      </c>
      <c r="AD102">
        <v>3</v>
      </c>
      <c r="AE102" t="s">
        <v>41</v>
      </c>
      <c r="AF102" t="s">
        <v>41</v>
      </c>
      <c r="AG102" t="s">
        <v>23</v>
      </c>
      <c r="AH102" t="s">
        <v>42</v>
      </c>
      <c r="AI102" t="s">
        <v>46</v>
      </c>
      <c r="AJ102" t="s">
        <v>47</v>
      </c>
      <c r="AK102" t="s">
        <v>43</v>
      </c>
      <c r="AL102" t="s">
        <v>44</v>
      </c>
      <c r="AM102" t="s">
        <v>45</v>
      </c>
      <c r="AN102" t="s">
        <v>41</v>
      </c>
    </row>
    <row r="103" spans="1:40" x14ac:dyDescent="0.25">
      <c r="A103">
        <v>2</v>
      </c>
      <c r="B103">
        <v>625</v>
      </c>
      <c r="C103" t="s">
        <v>167</v>
      </c>
      <c r="D103">
        <v>2</v>
      </c>
      <c r="E103">
        <v>95893</v>
      </c>
      <c r="F103">
        <v>0</v>
      </c>
      <c r="G103">
        <v>1</v>
      </c>
      <c r="H103">
        <v>1</v>
      </c>
      <c r="I103">
        <v>10</v>
      </c>
      <c r="J103">
        <v>103</v>
      </c>
      <c r="K103">
        <v>4</v>
      </c>
      <c r="L103">
        <v>0</v>
      </c>
      <c r="M103">
        <v>237</v>
      </c>
      <c r="N103" t="s">
        <v>38</v>
      </c>
      <c r="O103">
        <v>5</v>
      </c>
      <c r="P103" s="1">
        <v>46132</v>
      </c>
      <c r="Q103" s="1">
        <v>46134</v>
      </c>
      <c r="R103" s="1">
        <v>46141</v>
      </c>
      <c r="S103">
        <v>270.91000000000003</v>
      </c>
      <c r="T103">
        <v>270.91000000000003</v>
      </c>
      <c r="U103">
        <v>270.91000000000003</v>
      </c>
      <c r="V103">
        <v>3612009246</v>
      </c>
      <c r="W103">
        <v>1</v>
      </c>
      <c r="X103" t="s">
        <v>23</v>
      </c>
      <c r="Y103" t="s">
        <v>39</v>
      </c>
      <c r="Z103">
        <v>0</v>
      </c>
      <c r="AA103">
        <v>73</v>
      </c>
      <c r="AB103">
        <v>3</v>
      </c>
      <c r="AC103" t="s">
        <v>40</v>
      </c>
      <c r="AD103">
        <v>3</v>
      </c>
      <c r="AE103" t="s">
        <v>41</v>
      </c>
      <c r="AF103" t="s">
        <v>41</v>
      </c>
      <c r="AG103" t="s">
        <v>23</v>
      </c>
      <c r="AH103" t="s">
        <v>42</v>
      </c>
      <c r="AI103" t="s">
        <v>46</v>
      </c>
      <c r="AJ103" t="s">
        <v>47</v>
      </c>
      <c r="AK103" t="s">
        <v>43</v>
      </c>
      <c r="AL103" t="s">
        <v>44</v>
      </c>
      <c r="AM103" t="s">
        <v>45</v>
      </c>
      <c r="AN103" t="s">
        <v>41</v>
      </c>
    </row>
    <row r="104" spans="1:40" x14ac:dyDescent="0.25">
      <c r="A104">
        <v>2</v>
      </c>
      <c r="B104">
        <v>889</v>
      </c>
      <c r="C104" t="s">
        <v>205</v>
      </c>
      <c r="D104">
        <v>2</v>
      </c>
      <c r="E104">
        <v>95947</v>
      </c>
      <c r="F104">
        <v>0</v>
      </c>
      <c r="G104">
        <v>1</v>
      </c>
      <c r="H104">
        <v>5</v>
      </c>
      <c r="I104">
        <v>50</v>
      </c>
      <c r="J104">
        <v>515</v>
      </c>
      <c r="K104">
        <v>4</v>
      </c>
      <c r="L104">
        <v>0</v>
      </c>
      <c r="M104">
        <v>237</v>
      </c>
      <c r="N104" t="s">
        <v>38</v>
      </c>
      <c r="O104">
        <v>5</v>
      </c>
      <c r="P104" s="1">
        <v>46132</v>
      </c>
      <c r="Q104" s="1">
        <v>46134</v>
      </c>
      <c r="R104" s="1">
        <v>46141</v>
      </c>
      <c r="S104">
        <v>229.92</v>
      </c>
      <c r="T104">
        <v>229.92</v>
      </c>
      <c r="U104">
        <v>229.92</v>
      </c>
      <c r="V104">
        <v>3612009256</v>
      </c>
      <c r="W104">
        <v>9</v>
      </c>
      <c r="X104" t="s">
        <v>23</v>
      </c>
      <c r="Y104" t="s">
        <v>39</v>
      </c>
      <c r="Z104">
        <v>0</v>
      </c>
      <c r="AA104">
        <v>75</v>
      </c>
      <c r="AB104">
        <v>3</v>
      </c>
      <c r="AC104" t="s">
        <v>40</v>
      </c>
      <c r="AD104">
        <v>3</v>
      </c>
      <c r="AE104" t="s">
        <v>41</v>
      </c>
      <c r="AF104" t="s">
        <v>41</v>
      </c>
      <c r="AG104" t="s">
        <v>23</v>
      </c>
      <c r="AH104" t="s">
        <v>42</v>
      </c>
      <c r="AI104" t="s">
        <v>46</v>
      </c>
      <c r="AJ104" t="s">
        <v>47</v>
      </c>
      <c r="AK104" t="s">
        <v>43</v>
      </c>
      <c r="AL104" t="s">
        <v>44</v>
      </c>
      <c r="AM104" t="s">
        <v>45</v>
      </c>
      <c r="AN104" t="s">
        <v>41</v>
      </c>
    </row>
    <row r="105" spans="1:40" x14ac:dyDescent="0.25">
      <c r="A105">
        <v>2</v>
      </c>
      <c r="B105">
        <v>889</v>
      </c>
      <c r="C105" t="s">
        <v>205</v>
      </c>
      <c r="D105">
        <v>2</v>
      </c>
      <c r="E105">
        <v>95948</v>
      </c>
      <c r="F105">
        <v>0</v>
      </c>
      <c r="G105">
        <v>1</v>
      </c>
      <c r="H105">
        <v>5</v>
      </c>
      <c r="I105">
        <v>50</v>
      </c>
      <c r="J105">
        <v>515</v>
      </c>
      <c r="K105">
        <v>4</v>
      </c>
      <c r="L105">
        <v>0</v>
      </c>
      <c r="M105">
        <v>237</v>
      </c>
      <c r="N105" t="s">
        <v>38</v>
      </c>
      <c r="O105">
        <v>5</v>
      </c>
      <c r="P105" s="1">
        <v>46132</v>
      </c>
      <c r="Q105" s="1">
        <v>46134</v>
      </c>
      <c r="R105" s="1">
        <v>46141</v>
      </c>
      <c r="S105">
        <v>389.65</v>
      </c>
      <c r="T105">
        <v>389.65</v>
      </c>
      <c r="U105">
        <v>389.65</v>
      </c>
      <c r="V105">
        <v>3612009257</v>
      </c>
      <c r="W105">
        <v>7</v>
      </c>
      <c r="X105" t="s">
        <v>23</v>
      </c>
      <c r="Y105" t="s">
        <v>39</v>
      </c>
      <c r="Z105">
        <v>0</v>
      </c>
      <c r="AA105">
        <v>75</v>
      </c>
      <c r="AB105">
        <v>3</v>
      </c>
      <c r="AC105" t="s">
        <v>40</v>
      </c>
      <c r="AD105">
        <v>3</v>
      </c>
      <c r="AE105" t="s">
        <v>41</v>
      </c>
      <c r="AF105" t="s">
        <v>41</v>
      </c>
      <c r="AG105" t="s">
        <v>23</v>
      </c>
      <c r="AH105" t="s">
        <v>42</v>
      </c>
      <c r="AI105" t="s">
        <v>46</v>
      </c>
      <c r="AJ105" t="s">
        <v>47</v>
      </c>
      <c r="AK105" t="s">
        <v>43</v>
      </c>
      <c r="AL105" t="s">
        <v>44</v>
      </c>
      <c r="AM105" t="s">
        <v>45</v>
      </c>
      <c r="AN105" t="s">
        <v>41</v>
      </c>
    </row>
    <row r="106" spans="1:40" x14ac:dyDescent="0.25">
      <c r="A106">
        <v>2</v>
      </c>
      <c r="B106">
        <v>906</v>
      </c>
      <c r="C106" t="s">
        <v>137</v>
      </c>
      <c r="D106">
        <v>2</v>
      </c>
      <c r="E106">
        <v>95940</v>
      </c>
      <c r="F106">
        <v>0</v>
      </c>
      <c r="G106">
        <v>1</v>
      </c>
      <c r="H106">
        <v>5</v>
      </c>
      <c r="I106">
        <v>50</v>
      </c>
      <c r="J106">
        <v>515</v>
      </c>
      <c r="K106">
        <v>4</v>
      </c>
      <c r="L106">
        <v>0</v>
      </c>
      <c r="M106">
        <v>237</v>
      </c>
      <c r="N106" t="s">
        <v>38</v>
      </c>
      <c r="O106">
        <v>5</v>
      </c>
      <c r="P106" s="1">
        <v>46132</v>
      </c>
      <c r="Q106" s="1">
        <v>46134</v>
      </c>
      <c r="R106" s="1">
        <v>46141</v>
      </c>
      <c r="S106">
        <v>1937.94</v>
      </c>
      <c r="T106">
        <v>1937.94</v>
      </c>
      <c r="U106">
        <v>1937.94</v>
      </c>
      <c r="V106">
        <v>3612009255</v>
      </c>
      <c r="W106">
        <v>0</v>
      </c>
      <c r="X106" t="s">
        <v>23</v>
      </c>
      <c r="Y106" t="s">
        <v>39</v>
      </c>
      <c r="Z106">
        <v>0</v>
      </c>
      <c r="AA106">
        <v>75</v>
      </c>
      <c r="AB106">
        <v>3</v>
      </c>
      <c r="AC106" t="s">
        <v>40</v>
      </c>
      <c r="AD106">
        <v>3</v>
      </c>
      <c r="AE106" t="s">
        <v>41</v>
      </c>
      <c r="AF106" t="s">
        <v>41</v>
      </c>
      <c r="AG106" t="s">
        <v>23</v>
      </c>
      <c r="AH106" t="s">
        <v>42</v>
      </c>
      <c r="AI106" t="s">
        <v>46</v>
      </c>
      <c r="AJ106" t="s">
        <v>47</v>
      </c>
      <c r="AK106" t="s">
        <v>43</v>
      </c>
      <c r="AL106" t="s">
        <v>44</v>
      </c>
      <c r="AM106" t="s">
        <v>45</v>
      </c>
      <c r="AN106" t="s">
        <v>41</v>
      </c>
    </row>
    <row r="107" spans="1:40" x14ac:dyDescent="0.25">
      <c r="A107">
        <v>2</v>
      </c>
      <c r="B107">
        <v>919</v>
      </c>
      <c r="C107" t="s">
        <v>206</v>
      </c>
      <c r="D107">
        <v>2</v>
      </c>
      <c r="E107">
        <v>95954</v>
      </c>
      <c r="F107">
        <v>0</v>
      </c>
      <c r="G107">
        <v>1</v>
      </c>
      <c r="H107">
        <v>5</v>
      </c>
      <c r="I107">
        <v>50</v>
      </c>
      <c r="J107">
        <v>514</v>
      </c>
      <c r="K107">
        <v>4</v>
      </c>
      <c r="L107">
        <v>0</v>
      </c>
      <c r="M107">
        <v>237</v>
      </c>
      <c r="N107" t="s">
        <v>38</v>
      </c>
      <c r="O107">
        <v>5</v>
      </c>
      <c r="P107" s="1">
        <v>46132</v>
      </c>
      <c r="Q107" s="1">
        <v>46134</v>
      </c>
      <c r="R107" s="1">
        <v>46141</v>
      </c>
      <c r="S107">
        <v>11.35</v>
      </c>
      <c r="T107">
        <v>11.35</v>
      </c>
      <c r="U107">
        <v>11.35</v>
      </c>
      <c r="V107">
        <v>3612009259</v>
      </c>
      <c r="W107">
        <v>3</v>
      </c>
      <c r="X107" t="s">
        <v>23</v>
      </c>
      <c r="Y107" t="s">
        <v>39</v>
      </c>
      <c r="Z107">
        <v>0</v>
      </c>
      <c r="AA107">
        <v>75</v>
      </c>
      <c r="AB107">
        <v>6</v>
      </c>
      <c r="AC107" t="s">
        <v>40</v>
      </c>
      <c r="AD107">
        <v>6</v>
      </c>
      <c r="AE107" t="s">
        <v>41</v>
      </c>
      <c r="AF107" t="s">
        <v>41</v>
      </c>
      <c r="AG107" t="s">
        <v>23</v>
      </c>
      <c r="AH107" t="s">
        <v>42</v>
      </c>
      <c r="AI107" t="s">
        <v>46</v>
      </c>
      <c r="AJ107" t="s">
        <v>47</v>
      </c>
      <c r="AK107" t="s">
        <v>43</v>
      </c>
      <c r="AL107" t="s">
        <v>44</v>
      </c>
      <c r="AM107" t="s">
        <v>45</v>
      </c>
      <c r="AN107" t="s">
        <v>41</v>
      </c>
    </row>
    <row r="108" spans="1:40" x14ac:dyDescent="0.25">
      <c r="A108">
        <v>2</v>
      </c>
      <c r="B108">
        <v>923</v>
      </c>
      <c r="C108" t="s">
        <v>207</v>
      </c>
      <c r="D108">
        <v>2</v>
      </c>
      <c r="E108">
        <v>95825</v>
      </c>
      <c r="F108">
        <v>0</v>
      </c>
      <c r="G108">
        <v>1</v>
      </c>
      <c r="H108">
        <v>5</v>
      </c>
      <c r="I108">
        <v>50</v>
      </c>
      <c r="J108">
        <v>515</v>
      </c>
      <c r="K108">
        <v>4</v>
      </c>
      <c r="L108">
        <v>0</v>
      </c>
      <c r="M108">
        <v>237</v>
      </c>
      <c r="N108" t="s">
        <v>38</v>
      </c>
      <c r="O108">
        <v>5</v>
      </c>
      <c r="P108" s="1">
        <v>46132</v>
      </c>
      <c r="Q108" s="1">
        <v>46134</v>
      </c>
      <c r="R108" s="1">
        <v>46141</v>
      </c>
      <c r="S108">
        <v>1036.04</v>
      </c>
      <c r="T108">
        <v>1036.04</v>
      </c>
      <c r="U108">
        <v>1036.04</v>
      </c>
      <c r="V108">
        <v>3612009237</v>
      </c>
      <c r="W108">
        <v>2</v>
      </c>
      <c r="X108" t="s">
        <v>23</v>
      </c>
      <c r="Y108" t="s">
        <v>39</v>
      </c>
      <c r="Z108">
        <v>0</v>
      </c>
      <c r="AA108">
        <v>75</v>
      </c>
      <c r="AB108">
        <v>4</v>
      </c>
      <c r="AC108" t="s">
        <v>40</v>
      </c>
      <c r="AD108">
        <v>4</v>
      </c>
      <c r="AE108" t="s">
        <v>41</v>
      </c>
      <c r="AF108" t="s">
        <v>41</v>
      </c>
      <c r="AG108" t="s">
        <v>23</v>
      </c>
      <c r="AH108" t="s">
        <v>42</v>
      </c>
      <c r="AI108" t="s">
        <v>46</v>
      </c>
      <c r="AJ108" t="s">
        <v>47</v>
      </c>
      <c r="AK108" t="s">
        <v>43</v>
      </c>
      <c r="AL108" t="s">
        <v>44</v>
      </c>
      <c r="AM108" t="s">
        <v>45</v>
      </c>
      <c r="AN108" t="s">
        <v>41</v>
      </c>
    </row>
    <row r="109" spans="1:40" x14ac:dyDescent="0.25">
      <c r="A109">
        <v>2</v>
      </c>
      <c r="B109">
        <v>957</v>
      </c>
      <c r="C109" t="s">
        <v>208</v>
      </c>
      <c r="D109">
        <v>2</v>
      </c>
      <c r="E109">
        <v>95815</v>
      </c>
      <c r="F109">
        <v>0</v>
      </c>
      <c r="G109">
        <v>1</v>
      </c>
      <c r="H109">
        <v>5</v>
      </c>
      <c r="I109">
        <v>50</v>
      </c>
      <c r="J109">
        <v>511</v>
      </c>
      <c r="K109">
        <v>4</v>
      </c>
      <c r="L109">
        <v>0</v>
      </c>
      <c r="M109">
        <v>237</v>
      </c>
      <c r="N109" t="s">
        <v>38</v>
      </c>
      <c r="O109">
        <v>5</v>
      </c>
      <c r="P109" s="1">
        <v>46132</v>
      </c>
      <c r="Q109" s="1">
        <v>46134</v>
      </c>
      <c r="R109" s="1">
        <v>46141</v>
      </c>
      <c r="S109">
        <v>320.62</v>
      </c>
      <c r="T109">
        <v>320.62</v>
      </c>
      <c r="U109">
        <v>320.62</v>
      </c>
      <c r="V109">
        <v>3612009235</v>
      </c>
      <c r="W109">
        <v>6</v>
      </c>
      <c r="X109" t="s">
        <v>23</v>
      </c>
      <c r="Y109" t="s">
        <v>39</v>
      </c>
      <c r="Z109">
        <v>0</v>
      </c>
      <c r="AA109">
        <v>73</v>
      </c>
      <c r="AB109">
        <v>3</v>
      </c>
      <c r="AC109" t="s">
        <v>40</v>
      </c>
      <c r="AD109">
        <v>3</v>
      </c>
      <c r="AE109" t="s">
        <v>41</v>
      </c>
      <c r="AF109" t="s">
        <v>41</v>
      </c>
      <c r="AG109" t="s">
        <v>23</v>
      </c>
      <c r="AH109" t="s">
        <v>42</v>
      </c>
      <c r="AI109" t="s">
        <v>46</v>
      </c>
      <c r="AJ109" t="s">
        <v>47</v>
      </c>
      <c r="AK109" t="s">
        <v>43</v>
      </c>
      <c r="AL109" t="s">
        <v>44</v>
      </c>
      <c r="AM109" t="s">
        <v>45</v>
      </c>
      <c r="AN109" t="s">
        <v>41</v>
      </c>
    </row>
    <row r="110" spans="1:40" x14ac:dyDescent="0.25">
      <c r="A110">
        <v>2</v>
      </c>
      <c r="B110">
        <v>1011</v>
      </c>
      <c r="C110" t="s">
        <v>168</v>
      </c>
      <c r="D110">
        <v>2</v>
      </c>
      <c r="E110">
        <v>95953</v>
      </c>
      <c r="F110">
        <v>0</v>
      </c>
      <c r="G110">
        <v>1</v>
      </c>
      <c r="H110">
        <v>5</v>
      </c>
      <c r="I110">
        <v>50</v>
      </c>
      <c r="J110">
        <v>514</v>
      </c>
      <c r="K110">
        <v>4</v>
      </c>
      <c r="L110">
        <v>0</v>
      </c>
      <c r="M110">
        <v>237</v>
      </c>
      <c r="N110" t="s">
        <v>38</v>
      </c>
      <c r="O110">
        <v>5</v>
      </c>
      <c r="P110" s="1">
        <v>46132</v>
      </c>
      <c r="Q110" s="1">
        <v>46134</v>
      </c>
      <c r="R110" s="1">
        <v>46141</v>
      </c>
      <c r="S110">
        <v>288.04000000000002</v>
      </c>
      <c r="T110">
        <v>288.04000000000002</v>
      </c>
      <c r="U110">
        <v>288.04000000000002</v>
      </c>
      <c r="V110">
        <v>3612009258</v>
      </c>
      <c r="W110">
        <v>5</v>
      </c>
      <c r="X110" t="s">
        <v>23</v>
      </c>
      <c r="Y110" t="s">
        <v>39</v>
      </c>
      <c r="Z110">
        <v>0</v>
      </c>
      <c r="AA110">
        <v>73</v>
      </c>
      <c r="AB110">
        <v>3</v>
      </c>
      <c r="AC110" t="s">
        <v>40</v>
      </c>
      <c r="AD110">
        <v>3</v>
      </c>
      <c r="AE110" t="s">
        <v>41</v>
      </c>
      <c r="AF110" t="s">
        <v>41</v>
      </c>
      <c r="AG110" t="s">
        <v>23</v>
      </c>
      <c r="AH110" t="s">
        <v>42</v>
      </c>
      <c r="AI110" t="s">
        <v>46</v>
      </c>
      <c r="AJ110" t="s">
        <v>47</v>
      </c>
      <c r="AK110" t="s">
        <v>43</v>
      </c>
      <c r="AL110" t="s">
        <v>44</v>
      </c>
      <c r="AM110" t="s">
        <v>45</v>
      </c>
      <c r="AN110" t="s">
        <v>41</v>
      </c>
    </row>
    <row r="111" spans="1:40" x14ac:dyDescent="0.25">
      <c r="A111">
        <v>2</v>
      </c>
      <c r="B111">
        <v>2569</v>
      </c>
      <c r="C111" t="s">
        <v>209</v>
      </c>
      <c r="D111">
        <v>2</v>
      </c>
      <c r="E111">
        <v>95836</v>
      </c>
      <c r="F111">
        <v>0</v>
      </c>
      <c r="G111">
        <v>1</v>
      </c>
      <c r="H111">
        <v>5</v>
      </c>
      <c r="I111">
        <v>50</v>
      </c>
      <c r="J111">
        <v>512</v>
      </c>
      <c r="K111">
        <v>4</v>
      </c>
      <c r="L111">
        <v>0</v>
      </c>
      <c r="M111">
        <v>237</v>
      </c>
      <c r="N111" t="s">
        <v>38</v>
      </c>
      <c r="O111">
        <v>5</v>
      </c>
      <c r="P111" s="1">
        <v>46132</v>
      </c>
      <c r="Q111" s="1">
        <v>46134</v>
      </c>
      <c r="R111" s="1">
        <v>46141</v>
      </c>
      <c r="S111">
        <v>205.25</v>
      </c>
      <c r="T111">
        <v>205.25</v>
      </c>
      <c r="U111">
        <v>205.25</v>
      </c>
      <c r="V111">
        <v>3612009240</v>
      </c>
      <c r="W111">
        <v>2</v>
      </c>
      <c r="X111" t="s">
        <v>23</v>
      </c>
      <c r="Y111" t="s">
        <v>39</v>
      </c>
      <c r="Z111">
        <v>0</v>
      </c>
      <c r="AA111">
        <v>73</v>
      </c>
      <c r="AB111">
        <v>3</v>
      </c>
      <c r="AC111" t="s">
        <v>40</v>
      </c>
      <c r="AD111">
        <v>3</v>
      </c>
      <c r="AE111" t="s">
        <v>41</v>
      </c>
      <c r="AF111" t="s">
        <v>41</v>
      </c>
      <c r="AG111" t="s">
        <v>23</v>
      </c>
      <c r="AH111" t="s">
        <v>42</v>
      </c>
      <c r="AI111" t="s">
        <v>46</v>
      </c>
      <c r="AJ111" t="s">
        <v>47</v>
      </c>
      <c r="AK111" t="s">
        <v>43</v>
      </c>
      <c r="AL111" t="s">
        <v>44</v>
      </c>
      <c r="AM111" t="s">
        <v>45</v>
      </c>
      <c r="AN111" t="s">
        <v>41</v>
      </c>
    </row>
    <row r="112" spans="1:40" x14ac:dyDescent="0.25">
      <c r="A112">
        <v>2</v>
      </c>
      <c r="B112">
        <v>2889</v>
      </c>
      <c r="C112" t="s">
        <v>162</v>
      </c>
      <c r="D112">
        <v>2</v>
      </c>
      <c r="E112">
        <v>95996</v>
      </c>
      <c r="F112">
        <v>0</v>
      </c>
      <c r="G112">
        <v>1</v>
      </c>
      <c r="H112">
        <v>5</v>
      </c>
      <c r="I112">
        <v>50</v>
      </c>
      <c r="J112">
        <v>515</v>
      </c>
      <c r="K112">
        <v>4</v>
      </c>
      <c r="L112">
        <v>0</v>
      </c>
      <c r="M112">
        <v>237</v>
      </c>
      <c r="N112" t="s">
        <v>38</v>
      </c>
      <c r="O112">
        <v>5</v>
      </c>
      <c r="P112" s="1">
        <v>46132</v>
      </c>
      <c r="Q112" s="1">
        <v>46134</v>
      </c>
      <c r="R112" s="1">
        <v>46141</v>
      </c>
      <c r="S112">
        <v>995.39</v>
      </c>
      <c r="T112">
        <v>995.39</v>
      </c>
      <c r="U112">
        <v>995.39</v>
      </c>
      <c r="V112">
        <v>3612009264</v>
      </c>
      <c r="W112" t="s">
        <v>80</v>
      </c>
      <c r="X112" t="s">
        <v>23</v>
      </c>
      <c r="Y112" t="s">
        <v>39</v>
      </c>
      <c r="Z112">
        <v>0</v>
      </c>
      <c r="AA112">
        <v>73</v>
      </c>
      <c r="AB112">
        <v>5</v>
      </c>
      <c r="AC112" t="s">
        <v>40</v>
      </c>
      <c r="AD112">
        <v>5</v>
      </c>
      <c r="AE112" t="s">
        <v>41</v>
      </c>
      <c r="AF112" t="s">
        <v>41</v>
      </c>
      <c r="AG112" t="s">
        <v>23</v>
      </c>
      <c r="AH112" t="s">
        <v>42</v>
      </c>
      <c r="AI112" t="s">
        <v>46</v>
      </c>
      <c r="AJ112" t="s">
        <v>47</v>
      </c>
      <c r="AK112" t="s">
        <v>43</v>
      </c>
      <c r="AL112" t="s">
        <v>44</v>
      </c>
      <c r="AM112" t="s">
        <v>45</v>
      </c>
      <c r="AN112" t="s">
        <v>41</v>
      </c>
    </row>
    <row r="113" spans="1:40" x14ac:dyDescent="0.25">
      <c r="A113">
        <v>2</v>
      </c>
      <c r="B113">
        <v>2889</v>
      </c>
      <c r="C113" t="s">
        <v>162</v>
      </c>
      <c r="D113">
        <v>2</v>
      </c>
      <c r="E113">
        <v>95997</v>
      </c>
      <c r="F113">
        <v>0</v>
      </c>
      <c r="G113">
        <v>1</v>
      </c>
      <c r="H113">
        <v>5</v>
      </c>
      <c r="I113">
        <v>50</v>
      </c>
      <c r="J113">
        <v>515</v>
      </c>
      <c r="K113">
        <v>4</v>
      </c>
      <c r="L113">
        <v>0</v>
      </c>
      <c r="M113">
        <v>237</v>
      </c>
      <c r="N113" t="s">
        <v>38</v>
      </c>
      <c r="O113">
        <v>5</v>
      </c>
      <c r="P113" s="1">
        <v>46132</v>
      </c>
      <c r="Q113" s="1">
        <v>46134</v>
      </c>
      <c r="R113" s="1">
        <v>46141</v>
      </c>
      <c r="S113">
        <v>34137</v>
      </c>
      <c r="T113">
        <v>34137</v>
      </c>
      <c r="U113">
        <v>34137</v>
      </c>
      <c r="V113">
        <v>3612009265</v>
      </c>
      <c r="W113">
        <v>8</v>
      </c>
      <c r="X113" t="s">
        <v>23</v>
      </c>
      <c r="Y113" t="s">
        <v>39</v>
      </c>
      <c r="Z113">
        <v>0</v>
      </c>
      <c r="AA113">
        <v>73</v>
      </c>
      <c r="AB113">
        <v>5</v>
      </c>
      <c r="AC113" t="s">
        <v>40</v>
      </c>
      <c r="AD113">
        <v>5</v>
      </c>
      <c r="AE113" t="s">
        <v>41</v>
      </c>
      <c r="AF113" t="s">
        <v>41</v>
      </c>
      <c r="AG113" t="s">
        <v>23</v>
      </c>
      <c r="AH113" t="s">
        <v>42</v>
      </c>
      <c r="AI113" t="s">
        <v>46</v>
      </c>
      <c r="AJ113" t="s">
        <v>47</v>
      </c>
      <c r="AK113" t="s">
        <v>43</v>
      </c>
      <c r="AL113" t="s">
        <v>44</v>
      </c>
      <c r="AM113" t="s">
        <v>45</v>
      </c>
      <c r="AN113" t="s">
        <v>41</v>
      </c>
    </row>
    <row r="114" spans="1:40" x14ac:dyDescent="0.25">
      <c r="A114">
        <v>2</v>
      </c>
      <c r="B114">
        <v>3185</v>
      </c>
      <c r="C114" t="s">
        <v>163</v>
      </c>
      <c r="D114">
        <v>2</v>
      </c>
      <c r="E114">
        <v>95833</v>
      </c>
      <c r="F114">
        <v>0</v>
      </c>
      <c r="G114">
        <v>1</v>
      </c>
      <c r="H114">
        <v>5</v>
      </c>
      <c r="I114">
        <v>50</v>
      </c>
      <c r="J114">
        <v>512</v>
      </c>
      <c r="K114">
        <v>4</v>
      </c>
      <c r="L114">
        <v>0</v>
      </c>
      <c r="M114">
        <v>237</v>
      </c>
      <c r="N114" t="s">
        <v>38</v>
      </c>
      <c r="O114">
        <v>5</v>
      </c>
      <c r="P114" s="1">
        <v>46132</v>
      </c>
      <c r="Q114" s="1">
        <v>46134</v>
      </c>
      <c r="R114" s="1">
        <v>46141</v>
      </c>
      <c r="S114">
        <v>117.67</v>
      </c>
      <c r="T114">
        <v>117.67</v>
      </c>
      <c r="U114">
        <v>117.67</v>
      </c>
      <c r="V114">
        <v>3612009238</v>
      </c>
      <c r="W114">
        <v>0</v>
      </c>
      <c r="X114" t="s">
        <v>23</v>
      </c>
      <c r="Y114" t="s">
        <v>39</v>
      </c>
      <c r="Z114">
        <v>0</v>
      </c>
      <c r="AA114">
        <v>75</v>
      </c>
      <c r="AB114">
        <v>4</v>
      </c>
      <c r="AC114" t="s">
        <v>40</v>
      </c>
      <c r="AD114">
        <v>4</v>
      </c>
      <c r="AE114" t="s">
        <v>41</v>
      </c>
      <c r="AF114" t="s">
        <v>41</v>
      </c>
      <c r="AG114" t="s">
        <v>23</v>
      </c>
      <c r="AH114" t="s">
        <v>42</v>
      </c>
      <c r="AI114" t="s">
        <v>46</v>
      </c>
      <c r="AJ114" t="s">
        <v>47</v>
      </c>
      <c r="AK114" t="s">
        <v>43</v>
      </c>
      <c r="AL114" t="s">
        <v>44</v>
      </c>
      <c r="AM114" t="s">
        <v>45</v>
      </c>
      <c r="AN114" t="s">
        <v>41</v>
      </c>
    </row>
    <row r="115" spans="1:40" x14ac:dyDescent="0.25">
      <c r="A115">
        <v>2</v>
      </c>
      <c r="B115">
        <v>3185</v>
      </c>
      <c r="C115" t="s">
        <v>163</v>
      </c>
      <c r="D115">
        <v>2</v>
      </c>
      <c r="E115">
        <v>95834</v>
      </c>
      <c r="F115">
        <v>0</v>
      </c>
      <c r="G115">
        <v>1</v>
      </c>
      <c r="H115">
        <v>5</v>
      </c>
      <c r="I115">
        <v>50</v>
      </c>
      <c r="J115">
        <v>512</v>
      </c>
      <c r="K115">
        <v>4</v>
      </c>
      <c r="L115">
        <v>0</v>
      </c>
      <c r="M115">
        <v>237</v>
      </c>
      <c r="N115" t="s">
        <v>38</v>
      </c>
      <c r="O115">
        <v>5</v>
      </c>
      <c r="P115" s="1">
        <v>46132</v>
      </c>
      <c r="Q115" s="1">
        <v>46134</v>
      </c>
      <c r="R115" s="1">
        <v>46141</v>
      </c>
      <c r="S115">
        <v>896.8</v>
      </c>
      <c r="T115">
        <v>896.8</v>
      </c>
      <c r="U115">
        <v>896.8</v>
      </c>
      <c r="V115">
        <v>3612009239</v>
      </c>
      <c r="W115">
        <v>9</v>
      </c>
      <c r="X115" t="s">
        <v>23</v>
      </c>
      <c r="Y115" t="s">
        <v>39</v>
      </c>
      <c r="Z115">
        <v>0</v>
      </c>
      <c r="AA115">
        <v>75</v>
      </c>
      <c r="AB115">
        <v>4</v>
      </c>
      <c r="AC115" t="s">
        <v>40</v>
      </c>
      <c r="AD115">
        <v>4</v>
      </c>
      <c r="AE115" t="s">
        <v>41</v>
      </c>
      <c r="AF115" t="s">
        <v>41</v>
      </c>
      <c r="AG115" t="s">
        <v>23</v>
      </c>
      <c r="AH115" t="s">
        <v>42</v>
      </c>
      <c r="AI115" t="s">
        <v>46</v>
      </c>
      <c r="AJ115" t="s">
        <v>47</v>
      </c>
      <c r="AK115" t="s">
        <v>43</v>
      </c>
      <c r="AL115" t="s">
        <v>44</v>
      </c>
      <c r="AM115" t="s">
        <v>45</v>
      </c>
      <c r="AN115" t="s">
        <v>41</v>
      </c>
    </row>
    <row r="116" spans="1:40" x14ac:dyDescent="0.25">
      <c r="A116">
        <v>2</v>
      </c>
      <c r="B116">
        <v>3270</v>
      </c>
      <c r="C116" t="s">
        <v>170</v>
      </c>
      <c r="D116">
        <v>2</v>
      </c>
      <c r="E116">
        <v>96082</v>
      </c>
      <c r="F116">
        <v>0</v>
      </c>
      <c r="G116">
        <v>1</v>
      </c>
      <c r="H116">
        <v>1</v>
      </c>
      <c r="I116">
        <v>10</v>
      </c>
      <c r="J116">
        <v>101</v>
      </c>
      <c r="K116">
        <v>4</v>
      </c>
      <c r="L116">
        <v>0</v>
      </c>
      <c r="M116">
        <v>237</v>
      </c>
      <c r="N116" t="s">
        <v>38</v>
      </c>
      <c r="O116">
        <v>5</v>
      </c>
      <c r="P116" s="1">
        <v>46132</v>
      </c>
      <c r="Q116" s="1">
        <v>46134</v>
      </c>
      <c r="R116" s="1">
        <v>46141</v>
      </c>
      <c r="S116">
        <v>833.37</v>
      </c>
      <c r="T116">
        <v>833.37</v>
      </c>
      <c r="U116">
        <v>833.37</v>
      </c>
      <c r="V116">
        <v>3612009280</v>
      </c>
      <c r="W116">
        <v>1</v>
      </c>
      <c r="X116" t="s">
        <v>23</v>
      </c>
      <c r="Y116" t="s">
        <v>39</v>
      </c>
      <c r="Z116">
        <v>0</v>
      </c>
      <c r="AA116">
        <v>75</v>
      </c>
      <c r="AB116">
        <v>4</v>
      </c>
      <c r="AC116" t="s">
        <v>40</v>
      </c>
      <c r="AD116">
        <v>4</v>
      </c>
      <c r="AE116" t="s">
        <v>41</v>
      </c>
      <c r="AF116" t="s">
        <v>41</v>
      </c>
      <c r="AG116" t="s">
        <v>23</v>
      </c>
      <c r="AH116" t="s">
        <v>42</v>
      </c>
      <c r="AI116" t="s">
        <v>46</v>
      </c>
      <c r="AJ116" t="s">
        <v>47</v>
      </c>
      <c r="AK116" t="s">
        <v>43</v>
      </c>
      <c r="AL116" t="s">
        <v>44</v>
      </c>
      <c r="AM116" t="s">
        <v>45</v>
      </c>
      <c r="AN116" t="s">
        <v>41</v>
      </c>
    </row>
    <row r="117" spans="1:40" x14ac:dyDescent="0.25">
      <c r="A117">
        <v>2</v>
      </c>
      <c r="B117">
        <v>3283</v>
      </c>
      <c r="C117" t="s">
        <v>210</v>
      </c>
      <c r="D117">
        <v>2</v>
      </c>
      <c r="E117">
        <v>95876</v>
      </c>
      <c r="F117">
        <v>0</v>
      </c>
      <c r="G117">
        <v>1</v>
      </c>
      <c r="H117">
        <v>1</v>
      </c>
      <c r="I117">
        <v>10</v>
      </c>
      <c r="J117">
        <v>104</v>
      </c>
      <c r="K117">
        <v>4</v>
      </c>
      <c r="L117">
        <v>0</v>
      </c>
      <c r="M117">
        <v>237</v>
      </c>
      <c r="N117" t="s">
        <v>38</v>
      </c>
      <c r="O117">
        <v>5</v>
      </c>
      <c r="P117" s="1">
        <v>46132</v>
      </c>
      <c r="Q117" s="1">
        <v>46134</v>
      </c>
      <c r="R117" s="1">
        <v>46141</v>
      </c>
      <c r="S117">
        <v>559.37</v>
      </c>
      <c r="T117">
        <v>559.37</v>
      </c>
      <c r="U117">
        <v>559.37</v>
      </c>
      <c r="V117">
        <v>3612009245</v>
      </c>
      <c r="W117">
        <v>3</v>
      </c>
      <c r="X117" t="s">
        <v>23</v>
      </c>
      <c r="Y117" t="s">
        <v>39</v>
      </c>
      <c r="Z117">
        <v>0</v>
      </c>
      <c r="AA117">
        <v>73</v>
      </c>
      <c r="AB117">
        <v>3</v>
      </c>
      <c r="AC117" t="s">
        <v>40</v>
      </c>
      <c r="AD117">
        <v>3</v>
      </c>
      <c r="AE117" t="s">
        <v>41</v>
      </c>
      <c r="AF117" t="s">
        <v>41</v>
      </c>
      <c r="AG117" t="s">
        <v>23</v>
      </c>
      <c r="AH117" t="s">
        <v>42</v>
      </c>
      <c r="AI117" t="s">
        <v>46</v>
      </c>
      <c r="AJ117" t="s">
        <v>47</v>
      </c>
      <c r="AK117" t="s">
        <v>43</v>
      </c>
      <c r="AL117" t="s">
        <v>44</v>
      </c>
      <c r="AM117" t="s">
        <v>45</v>
      </c>
      <c r="AN117" t="s">
        <v>41</v>
      </c>
    </row>
    <row r="118" spans="1:40" x14ac:dyDescent="0.25">
      <c r="A118">
        <v>2</v>
      </c>
      <c r="B118">
        <v>3318</v>
      </c>
      <c r="C118" t="s">
        <v>211</v>
      </c>
      <c r="D118">
        <v>2</v>
      </c>
      <c r="E118">
        <v>95976</v>
      </c>
      <c r="F118">
        <v>0</v>
      </c>
      <c r="G118">
        <v>1</v>
      </c>
      <c r="H118">
        <v>5</v>
      </c>
      <c r="I118">
        <v>50</v>
      </c>
      <c r="J118">
        <v>511</v>
      </c>
      <c r="K118">
        <v>4</v>
      </c>
      <c r="L118">
        <v>0</v>
      </c>
      <c r="M118">
        <v>237</v>
      </c>
      <c r="N118" t="s">
        <v>38</v>
      </c>
      <c r="O118">
        <v>5</v>
      </c>
      <c r="P118" s="1">
        <v>46132</v>
      </c>
      <c r="Q118" s="1">
        <v>46134</v>
      </c>
      <c r="R118" s="1">
        <v>46141</v>
      </c>
      <c r="S118">
        <v>326.67</v>
      </c>
      <c r="T118">
        <v>326.67</v>
      </c>
      <c r="U118">
        <v>326.67</v>
      </c>
      <c r="V118">
        <v>3612009262</v>
      </c>
      <c r="W118">
        <v>3</v>
      </c>
      <c r="X118" t="s">
        <v>23</v>
      </c>
      <c r="Y118" t="s">
        <v>39</v>
      </c>
      <c r="Z118">
        <v>0</v>
      </c>
      <c r="AA118">
        <v>75</v>
      </c>
      <c r="AB118">
        <v>4</v>
      </c>
      <c r="AC118" t="s">
        <v>40</v>
      </c>
      <c r="AD118">
        <v>4</v>
      </c>
      <c r="AE118" t="s">
        <v>41</v>
      </c>
      <c r="AF118" t="s">
        <v>41</v>
      </c>
      <c r="AG118" t="s">
        <v>23</v>
      </c>
      <c r="AH118" t="s">
        <v>42</v>
      </c>
      <c r="AI118" t="s">
        <v>46</v>
      </c>
      <c r="AJ118" t="s">
        <v>47</v>
      </c>
      <c r="AK118" t="s">
        <v>43</v>
      </c>
      <c r="AL118" t="s">
        <v>44</v>
      </c>
      <c r="AM118" t="s">
        <v>45</v>
      </c>
      <c r="AN118" t="s">
        <v>41</v>
      </c>
    </row>
    <row r="119" spans="1:40" x14ac:dyDescent="0.25">
      <c r="A119">
        <v>2</v>
      </c>
      <c r="B119">
        <v>3380</v>
      </c>
      <c r="C119" t="s">
        <v>171</v>
      </c>
      <c r="D119">
        <v>2</v>
      </c>
      <c r="E119">
        <v>95982</v>
      </c>
      <c r="F119">
        <v>0</v>
      </c>
      <c r="G119">
        <v>1</v>
      </c>
      <c r="H119">
        <v>5</v>
      </c>
      <c r="I119">
        <v>50</v>
      </c>
      <c r="J119">
        <v>511</v>
      </c>
      <c r="K119">
        <v>4</v>
      </c>
      <c r="L119">
        <v>0</v>
      </c>
      <c r="M119">
        <v>237</v>
      </c>
      <c r="N119" t="s">
        <v>38</v>
      </c>
      <c r="O119">
        <v>5</v>
      </c>
      <c r="P119" s="1">
        <v>46132</v>
      </c>
      <c r="Q119" s="1">
        <v>46134</v>
      </c>
      <c r="R119" s="1">
        <v>46141</v>
      </c>
      <c r="S119">
        <v>227.5</v>
      </c>
      <c r="T119">
        <v>227.5</v>
      </c>
      <c r="U119">
        <v>227.5</v>
      </c>
      <c r="V119">
        <v>3612009263</v>
      </c>
      <c r="W119">
        <v>1</v>
      </c>
      <c r="X119" t="s">
        <v>23</v>
      </c>
      <c r="Y119" t="s">
        <v>39</v>
      </c>
      <c r="Z119">
        <v>0</v>
      </c>
      <c r="AA119">
        <v>75</v>
      </c>
      <c r="AB119">
        <v>4</v>
      </c>
      <c r="AC119" t="s">
        <v>40</v>
      </c>
      <c r="AD119">
        <v>4</v>
      </c>
      <c r="AE119" t="s">
        <v>41</v>
      </c>
      <c r="AF119" t="s">
        <v>41</v>
      </c>
      <c r="AG119" t="s">
        <v>23</v>
      </c>
      <c r="AH119" t="s">
        <v>42</v>
      </c>
      <c r="AI119" t="s">
        <v>46</v>
      </c>
      <c r="AJ119" t="s">
        <v>47</v>
      </c>
      <c r="AK119" t="s">
        <v>43</v>
      </c>
      <c r="AL119" t="s">
        <v>44</v>
      </c>
      <c r="AM119" t="s">
        <v>45</v>
      </c>
      <c r="AN119" t="s">
        <v>41</v>
      </c>
    </row>
    <row r="120" spans="1:40" x14ac:dyDescent="0.25">
      <c r="A120">
        <v>2</v>
      </c>
      <c r="B120">
        <v>3495</v>
      </c>
      <c r="C120" t="s">
        <v>212</v>
      </c>
      <c r="D120">
        <v>2</v>
      </c>
      <c r="E120">
        <v>96130</v>
      </c>
      <c r="F120">
        <v>0</v>
      </c>
      <c r="G120">
        <v>1</v>
      </c>
      <c r="H120">
        <v>1</v>
      </c>
      <c r="I120">
        <v>10</v>
      </c>
      <c r="J120">
        <v>101</v>
      </c>
      <c r="K120">
        <v>4</v>
      </c>
      <c r="L120">
        <v>0</v>
      </c>
      <c r="M120">
        <v>237</v>
      </c>
      <c r="N120" t="s">
        <v>38</v>
      </c>
      <c r="O120">
        <v>5</v>
      </c>
      <c r="P120" s="1">
        <v>46132</v>
      </c>
      <c r="Q120" s="1">
        <v>46134</v>
      </c>
      <c r="R120" s="1">
        <v>46141</v>
      </c>
      <c r="S120">
        <v>337.32</v>
      </c>
      <c r="T120">
        <v>337.32</v>
      </c>
      <c r="U120">
        <v>337.32</v>
      </c>
      <c r="V120">
        <v>3612009288</v>
      </c>
      <c r="W120">
        <v>7</v>
      </c>
      <c r="X120" t="s">
        <v>23</v>
      </c>
      <c r="Y120" t="s">
        <v>39</v>
      </c>
      <c r="Z120">
        <v>0</v>
      </c>
      <c r="AA120">
        <v>75</v>
      </c>
      <c r="AB120">
        <v>5</v>
      </c>
      <c r="AC120" t="s">
        <v>40</v>
      </c>
      <c r="AD120">
        <v>5</v>
      </c>
      <c r="AE120" t="s">
        <v>41</v>
      </c>
      <c r="AF120" t="s">
        <v>41</v>
      </c>
      <c r="AG120" t="s">
        <v>23</v>
      </c>
      <c r="AH120" t="s">
        <v>42</v>
      </c>
      <c r="AI120" t="s">
        <v>46</v>
      </c>
      <c r="AJ120" t="s">
        <v>47</v>
      </c>
      <c r="AK120" t="s">
        <v>43</v>
      </c>
      <c r="AL120" t="s">
        <v>44</v>
      </c>
      <c r="AM120" t="s">
        <v>45</v>
      </c>
      <c r="AN120" t="s">
        <v>41</v>
      </c>
    </row>
    <row r="121" spans="1:40" x14ac:dyDescent="0.25">
      <c r="A121">
        <v>2</v>
      </c>
      <c r="B121">
        <v>3614</v>
      </c>
      <c r="C121" t="s">
        <v>213</v>
      </c>
      <c r="D121">
        <v>2</v>
      </c>
      <c r="E121">
        <v>96075</v>
      </c>
      <c r="F121">
        <v>0</v>
      </c>
      <c r="G121">
        <v>1</v>
      </c>
      <c r="H121">
        <v>5</v>
      </c>
      <c r="I121">
        <v>50</v>
      </c>
      <c r="J121">
        <v>513</v>
      </c>
      <c r="K121">
        <v>4</v>
      </c>
      <c r="L121">
        <v>0</v>
      </c>
      <c r="M121">
        <v>237</v>
      </c>
      <c r="N121" t="s">
        <v>38</v>
      </c>
      <c r="O121">
        <v>5</v>
      </c>
      <c r="P121" s="1">
        <v>46132</v>
      </c>
      <c r="Q121" s="1">
        <v>46134</v>
      </c>
      <c r="R121" s="1">
        <v>46141</v>
      </c>
      <c r="S121">
        <v>111.34</v>
      </c>
      <c r="T121">
        <v>111.34</v>
      </c>
      <c r="U121">
        <v>111.34</v>
      </c>
      <c r="V121">
        <v>3612009274</v>
      </c>
      <c r="W121">
        <v>7</v>
      </c>
      <c r="X121" t="s">
        <v>23</v>
      </c>
      <c r="Y121" t="s">
        <v>39</v>
      </c>
      <c r="Z121">
        <v>0</v>
      </c>
      <c r="AA121">
        <v>75</v>
      </c>
      <c r="AB121">
        <v>4</v>
      </c>
      <c r="AC121" t="s">
        <v>40</v>
      </c>
      <c r="AD121">
        <v>4</v>
      </c>
      <c r="AE121" t="s">
        <v>41</v>
      </c>
      <c r="AF121" t="s">
        <v>41</v>
      </c>
      <c r="AG121" t="s">
        <v>23</v>
      </c>
      <c r="AH121" t="s">
        <v>42</v>
      </c>
      <c r="AI121" t="s">
        <v>46</v>
      </c>
      <c r="AJ121" t="s">
        <v>47</v>
      </c>
      <c r="AK121" t="s">
        <v>43</v>
      </c>
      <c r="AL121" t="s">
        <v>44</v>
      </c>
      <c r="AM121" t="s">
        <v>45</v>
      </c>
      <c r="AN121" t="s">
        <v>41</v>
      </c>
    </row>
    <row r="122" spans="1:40" x14ac:dyDescent="0.25">
      <c r="A122">
        <v>2</v>
      </c>
      <c r="B122">
        <v>3614</v>
      </c>
      <c r="C122" t="s">
        <v>213</v>
      </c>
      <c r="D122">
        <v>2</v>
      </c>
      <c r="E122">
        <v>96076</v>
      </c>
      <c r="F122">
        <v>0</v>
      </c>
      <c r="G122">
        <v>1</v>
      </c>
      <c r="H122">
        <v>5</v>
      </c>
      <c r="I122">
        <v>50</v>
      </c>
      <c r="J122">
        <v>513</v>
      </c>
      <c r="K122">
        <v>4</v>
      </c>
      <c r="L122">
        <v>0</v>
      </c>
      <c r="M122">
        <v>237</v>
      </c>
      <c r="N122" t="s">
        <v>38</v>
      </c>
      <c r="O122">
        <v>5</v>
      </c>
      <c r="P122" s="1">
        <v>46132</v>
      </c>
      <c r="Q122" s="1">
        <v>46134</v>
      </c>
      <c r="R122" s="1">
        <v>46141</v>
      </c>
      <c r="S122">
        <v>32.64</v>
      </c>
      <c r="T122">
        <v>32.64</v>
      </c>
      <c r="U122">
        <v>32.64</v>
      </c>
      <c r="V122">
        <v>3612009275</v>
      </c>
      <c r="W122">
        <v>5</v>
      </c>
      <c r="X122" t="s">
        <v>23</v>
      </c>
      <c r="Y122" t="s">
        <v>39</v>
      </c>
      <c r="Z122">
        <v>0</v>
      </c>
      <c r="AA122">
        <v>75</v>
      </c>
      <c r="AB122">
        <v>4</v>
      </c>
      <c r="AC122" t="s">
        <v>40</v>
      </c>
      <c r="AD122">
        <v>4</v>
      </c>
      <c r="AE122" t="s">
        <v>41</v>
      </c>
      <c r="AF122" t="s">
        <v>41</v>
      </c>
      <c r="AG122" t="s">
        <v>23</v>
      </c>
      <c r="AH122" t="s">
        <v>42</v>
      </c>
      <c r="AI122" t="s">
        <v>46</v>
      </c>
      <c r="AJ122" t="s">
        <v>47</v>
      </c>
      <c r="AK122" t="s">
        <v>43</v>
      </c>
      <c r="AL122" t="s">
        <v>44</v>
      </c>
      <c r="AM122" t="s">
        <v>45</v>
      </c>
      <c r="AN122" t="s">
        <v>41</v>
      </c>
    </row>
    <row r="123" spans="1:40" x14ac:dyDescent="0.25">
      <c r="A123">
        <v>2</v>
      </c>
      <c r="B123">
        <v>3614</v>
      </c>
      <c r="C123" t="s">
        <v>213</v>
      </c>
      <c r="D123">
        <v>2</v>
      </c>
      <c r="E123">
        <v>96077</v>
      </c>
      <c r="F123">
        <v>0</v>
      </c>
      <c r="G123">
        <v>1</v>
      </c>
      <c r="H123">
        <v>5</v>
      </c>
      <c r="I123">
        <v>50</v>
      </c>
      <c r="J123">
        <v>513</v>
      </c>
      <c r="K123">
        <v>4</v>
      </c>
      <c r="L123">
        <v>0</v>
      </c>
      <c r="M123">
        <v>237</v>
      </c>
      <c r="N123" t="s">
        <v>38</v>
      </c>
      <c r="O123">
        <v>5</v>
      </c>
      <c r="P123" s="1">
        <v>46132</v>
      </c>
      <c r="Q123" s="1">
        <v>46134</v>
      </c>
      <c r="R123" s="1">
        <v>46141</v>
      </c>
      <c r="S123">
        <v>54.91</v>
      </c>
      <c r="T123">
        <v>54.91</v>
      </c>
      <c r="U123">
        <v>54.91</v>
      </c>
      <c r="V123">
        <v>3612009276</v>
      </c>
      <c r="W123">
        <v>3</v>
      </c>
      <c r="X123" t="s">
        <v>23</v>
      </c>
      <c r="Y123" t="s">
        <v>39</v>
      </c>
      <c r="Z123">
        <v>0</v>
      </c>
      <c r="AA123">
        <v>75</v>
      </c>
      <c r="AB123">
        <v>4</v>
      </c>
      <c r="AC123" t="s">
        <v>40</v>
      </c>
      <c r="AD123">
        <v>4</v>
      </c>
      <c r="AE123" t="s">
        <v>41</v>
      </c>
      <c r="AF123" t="s">
        <v>41</v>
      </c>
      <c r="AG123" t="s">
        <v>23</v>
      </c>
      <c r="AH123" t="s">
        <v>42</v>
      </c>
      <c r="AI123" t="s">
        <v>46</v>
      </c>
      <c r="AJ123" t="s">
        <v>47</v>
      </c>
      <c r="AK123" t="s">
        <v>43</v>
      </c>
      <c r="AL123" t="s">
        <v>44</v>
      </c>
      <c r="AM123" t="s">
        <v>45</v>
      </c>
      <c r="AN123" t="s">
        <v>41</v>
      </c>
    </row>
    <row r="124" spans="1:40" x14ac:dyDescent="0.25">
      <c r="A124">
        <v>2</v>
      </c>
      <c r="B124">
        <v>3614</v>
      </c>
      <c r="C124" t="s">
        <v>213</v>
      </c>
      <c r="D124">
        <v>2</v>
      </c>
      <c r="E124">
        <v>96078</v>
      </c>
      <c r="F124">
        <v>0</v>
      </c>
      <c r="G124">
        <v>1</v>
      </c>
      <c r="H124">
        <v>5</v>
      </c>
      <c r="I124">
        <v>50</v>
      </c>
      <c r="J124">
        <v>513</v>
      </c>
      <c r="K124">
        <v>4</v>
      </c>
      <c r="L124">
        <v>0</v>
      </c>
      <c r="M124">
        <v>237</v>
      </c>
      <c r="N124" t="s">
        <v>38</v>
      </c>
      <c r="O124">
        <v>5</v>
      </c>
      <c r="P124" s="1">
        <v>46132</v>
      </c>
      <c r="Q124" s="1">
        <v>46134</v>
      </c>
      <c r="R124" s="1">
        <v>46141</v>
      </c>
      <c r="S124">
        <v>58.84</v>
      </c>
      <c r="T124">
        <v>58.84</v>
      </c>
      <c r="U124">
        <v>58.84</v>
      </c>
      <c r="V124">
        <v>3612009277</v>
      </c>
      <c r="W124">
        <v>1</v>
      </c>
      <c r="X124" t="s">
        <v>23</v>
      </c>
      <c r="Y124" t="s">
        <v>39</v>
      </c>
      <c r="Z124">
        <v>0</v>
      </c>
      <c r="AA124">
        <v>75</v>
      </c>
      <c r="AB124">
        <v>4</v>
      </c>
      <c r="AC124" t="s">
        <v>40</v>
      </c>
      <c r="AD124">
        <v>4</v>
      </c>
      <c r="AE124" t="s">
        <v>41</v>
      </c>
      <c r="AF124" t="s">
        <v>41</v>
      </c>
      <c r="AG124" t="s">
        <v>23</v>
      </c>
      <c r="AH124" t="s">
        <v>42</v>
      </c>
      <c r="AI124" t="s">
        <v>46</v>
      </c>
      <c r="AJ124" t="s">
        <v>47</v>
      </c>
      <c r="AK124" t="s">
        <v>43</v>
      </c>
      <c r="AL124" t="s">
        <v>44</v>
      </c>
      <c r="AM124" t="s">
        <v>45</v>
      </c>
      <c r="AN124" t="s">
        <v>41</v>
      </c>
    </row>
    <row r="125" spans="1:40" x14ac:dyDescent="0.25">
      <c r="A125">
        <v>2</v>
      </c>
      <c r="B125">
        <v>3614</v>
      </c>
      <c r="C125" t="s">
        <v>213</v>
      </c>
      <c r="D125">
        <v>2</v>
      </c>
      <c r="E125">
        <v>96079</v>
      </c>
      <c r="F125">
        <v>0</v>
      </c>
      <c r="G125">
        <v>1</v>
      </c>
      <c r="H125">
        <v>5</v>
      </c>
      <c r="I125">
        <v>50</v>
      </c>
      <c r="J125">
        <v>513</v>
      </c>
      <c r="K125">
        <v>4</v>
      </c>
      <c r="L125">
        <v>0</v>
      </c>
      <c r="M125">
        <v>237</v>
      </c>
      <c r="N125" t="s">
        <v>38</v>
      </c>
      <c r="O125">
        <v>5</v>
      </c>
      <c r="P125" s="1">
        <v>46132</v>
      </c>
      <c r="Q125" s="1">
        <v>46134</v>
      </c>
      <c r="R125" s="1">
        <v>46141</v>
      </c>
      <c r="S125">
        <v>54.91</v>
      </c>
      <c r="T125">
        <v>54.91</v>
      </c>
      <c r="U125">
        <v>54.91</v>
      </c>
      <c r="V125">
        <v>3612009278</v>
      </c>
      <c r="W125" t="s">
        <v>80</v>
      </c>
      <c r="X125" t="s">
        <v>23</v>
      </c>
      <c r="Y125" t="s">
        <v>39</v>
      </c>
      <c r="Z125">
        <v>0</v>
      </c>
      <c r="AA125">
        <v>75</v>
      </c>
      <c r="AB125">
        <v>4</v>
      </c>
      <c r="AC125" t="s">
        <v>40</v>
      </c>
      <c r="AD125">
        <v>4</v>
      </c>
      <c r="AE125" t="s">
        <v>41</v>
      </c>
      <c r="AF125" t="s">
        <v>41</v>
      </c>
      <c r="AG125" t="s">
        <v>23</v>
      </c>
      <c r="AH125" t="s">
        <v>42</v>
      </c>
      <c r="AI125" t="s">
        <v>46</v>
      </c>
      <c r="AJ125" t="s">
        <v>47</v>
      </c>
      <c r="AK125" t="s">
        <v>43</v>
      </c>
      <c r="AL125" t="s">
        <v>44</v>
      </c>
      <c r="AM125" t="s">
        <v>45</v>
      </c>
      <c r="AN125" t="s">
        <v>41</v>
      </c>
    </row>
    <row r="126" spans="1:40" x14ac:dyDescent="0.25">
      <c r="A126">
        <v>2</v>
      </c>
      <c r="B126">
        <v>3617</v>
      </c>
      <c r="C126" t="s">
        <v>214</v>
      </c>
      <c r="D126">
        <v>2</v>
      </c>
      <c r="E126">
        <v>95975</v>
      </c>
      <c r="F126">
        <v>0</v>
      </c>
      <c r="G126">
        <v>1</v>
      </c>
      <c r="H126">
        <v>5</v>
      </c>
      <c r="I126">
        <v>50</v>
      </c>
      <c r="J126">
        <v>511</v>
      </c>
      <c r="K126">
        <v>4</v>
      </c>
      <c r="L126">
        <v>0</v>
      </c>
      <c r="M126">
        <v>237</v>
      </c>
      <c r="N126" t="s">
        <v>38</v>
      </c>
      <c r="O126">
        <v>5</v>
      </c>
      <c r="P126" s="1">
        <v>46132</v>
      </c>
      <c r="Q126" s="1">
        <v>46134</v>
      </c>
      <c r="R126" s="1">
        <v>46141</v>
      </c>
      <c r="S126">
        <v>1039.23</v>
      </c>
      <c r="T126">
        <v>1039.23</v>
      </c>
      <c r="U126">
        <v>1039.23</v>
      </c>
      <c r="V126">
        <v>3612009261</v>
      </c>
      <c r="W126">
        <v>5</v>
      </c>
      <c r="X126" t="s">
        <v>23</v>
      </c>
      <c r="Y126" t="s">
        <v>39</v>
      </c>
      <c r="Z126">
        <v>0</v>
      </c>
      <c r="AA126">
        <v>73</v>
      </c>
      <c r="AB126">
        <v>3</v>
      </c>
      <c r="AC126" t="s">
        <v>40</v>
      </c>
      <c r="AD126">
        <v>3</v>
      </c>
      <c r="AE126" t="s">
        <v>41</v>
      </c>
      <c r="AF126" t="s">
        <v>41</v>
      </c>
      <c r="AG126" t="s">
        <v>23</v>
      </c>
      <c r="AH126" t="s">
        <v>42</v>
      </c>
      <c r="AI126" t="s">
        <v>46</v>
      </c>
      <c r="AJ126" t="s">
        <v>47</v>
      </c>
      <c r="AK126" t="s">
        <v>43</v>
      </c>
      <c r="AL126" t="s">
        <v>44</v>
      </c>
      <c r="AM126" t="s">
        <v>45</v>
      </c>
      <c r="AN126" t="s">
        <v>41</v>
      </c>
    </row>
    <row r="127" spans="1:40" x14ac:dyDescent="0.25">
      <c r="A127">
        <v>2</v>
      </c>
      <c r="B127">
        <v>3626</v>
      </c>
      <c r="C127" t="s">
        <v>172</v>
      </c>
      <c r="D127">
        <v>2</v>
      </c>
      <c r="E127">
        <v>96128</v>
      </c>
      <c r="F127">
        <v>0</v>
      </c>
      <c r="G127">
        <v>1</v>
      </c>
      <c r="H127">
        <v>1</v>
      </c>
      <c r="I127">
        <v>10</v>
      </c>
      <c r="J127">
        <v>101</v>
      </c>
      <c r="K127">
        <v>4</v>
      </c>
      <c r="L127">
        <v>0</v>
      </c>
      <c r="M127">
        <v>237</v>
      </c>
      <c r="N127" t="s">
        <v>38</v>
      </c>
      <c r="O127">
        <v>5</v>
      </c>
      <c r="P127" s="1">
        <v>46132</v>
      </c>
      <c r="Q127" s="1">
        <v>46134</v>
      </c>
      <c r="R127" s="1">
        <v>46141</v>
      </c>
      <c r="S127">
        <v>2981.7</v>
      </c>
      <c r="T127">
        <v>2981.7</v>
      </c>
      <c r="U127">
        <v>2981.7</v>
      </c>
      <c r="V127">
        <v>3612009287</v>
      </c>
      <c r="W127">
        <v>9</v>
      </c>
      <c r="X127" t="s">
        <v>23</v>
      </c>
      <c r="Y127" t="s">
        <v>39</v>
      </c>
      <c r="Z127">
        <v>0</v>
      </c>
      <c r="AA127">
        <v>73</v>
      </c>
      <c r="AB127">
        <v>3</v>
      </c>
      <c r="AC127" t="s">
        <v>40</v>
      </c>
      <c r="AD127">
        <v>3</v>
      </c>
      <c r="AE127" t="s">
        <v>41</v>
      </c>
      <c r="AF127" t="s">
        <v>41</v>
      </c>
      <c r="AG127" t="s">
        <v>23</v>
      </c>
      <c r="AH127" t="s">
        <v>42</v>
      </c>
      <c r="AI127" t="s">
        <v>46</v>
      </c>
      <c r="AJ127" t="s">
        <v>47</v>
      </c>
      <c r="AK127" t="s">
        <v>43</v>
      </c>
      <c r="AL127" t="s">
        <v>44</v>
      </c>
      <c r="AM127" t="s">
        <v>45</v>
      </c>
      <c r="AN127" t="s">
        <v>41</v>
      </c>
    </row>
    <row r="128" spans="1:40" x14ac:dyDescent="0.25">
      <c r="A128">
        <v>2</v>
      </c>
      <c r="B128">
        <v>3715</v>
      </c>
      <c r="C128" t="s">
        <v>139</v>
      </c>
      <c r="D128">
        <v>2</v>
      </c>
      <c r="E128">
        <v>95845</v>
      </c>
      <c r="F128">
        <v>0</v>
      </c>
      <c r="G128">
        <v>1</v>
      </c>
      <c r="H128">
        <v>5</v>
      </c>
      <c r="I128">
        <v>50</v>
      </c>
      <c r="J128">
        <v>512</v>
      </c>
      <c r="K128">
        <v>4</v>
      </c>
      <c r="L128">
        <v>0</v>
      </c>
      <c r="M128">
        <v>237</v>
      </c>
      <c r="N128" t="s">
        <v>38</v>
      </c>
      <c r="O128">
        <v>5</v>
      </c>
      <c r="P128" s="1">
        <v>46132</v>
      </c>
      <c r="Q128" s="1">
        <v>46134</v>
      </c>
      <c r="R128" s="1">
        <v>46141</v>
      </c>
      <c r="S128">
        <v>486.04</v>
      </c>
      <c r="T128">
        <v>486.04</v>
      </c>
      <c r="U128">
        <v>486.04</v>
      </c>
      <c r="V128">
        <v>3612009241</v>
      </c>
      <c r="W128">
        <v>0</v>
      </c>
      <c r="X128" t="s">
        <v>23</v>
      </c>
      <c r="Y128" t="s">
        <v>39</v>
      </c>
      <c r="Z128">
        <v>0</v>
      </c>
      <c r="AA128">
        <v>75</v>
      </c>
      <c r="AB128">
        <v>5</v>
      </c>
      <c r="AC128" t="s">
        <v>40</v>
      </c>
      <c r="AD128">
        <v>5</v>
      </c>
      <c r="AE128" t="s">
        <v>41</v>
      </c>
      <c r="AF128" t="s">
        <v>41</v>
      </c>
      <c r="AG128" t="s">
        <v>23</v>
      </c>
      <c r="AH128" t="s">
        <v>42</v>
      </c>
      <c r="AI128" t="s">
        <v>46</v>
      </c>
      <c r="AJ128" t="s">
        <v>47</v>
      </c>
      <c r="AK128" t="s">
        <v>43</v>
      </c>
      <c r="AL128" t="s">
        <v>44</v>
      </c>
      <c r="AM128" t="s">
        <v>45</v>
      </c>
      <c r="AN128" t="s">
        <v>41</v>
      </c>
    </row>
    <row r="129" spans="1:40" x14ac:dyDescent="0.25">
      <c r="A129">
        <v>2</v>
      </c>
      <c r="B129">
        <v>3719</v>
      </c>
      <c r="C129" t="s">
        <v>215</v>
      </c>
      <c r="D129">
        <v>2</v>
      </c>
      <c r="E129">
        <v>96102</v>
      </c>
      <c r="F129">
        <v>0</v>
      </c>
      <c r="G129">
        <v>1</v>
      </c>
      <c r="H129">
        <v>1</v>
      </c>
      <c r="I129">
        <v>10</v>
      </c>
      <c r="J129">
        <v>101</v>
      </c>
      <c r="K129">
        <v>4</v>
      </c>
      <c r="L129">
        <v>0</v>
      </c>
      <c r="M129">
        <v>237</v>
      </c>
      <c r="N129" t="s">
        <v>38</v>
      </c>
      <c r="O129">
        <v>5</v>
      </c>
      <c r="P129" s="1">
        <v>46132</v>
      </c>
      <c r="Q129" s="1">
        <v>46134</v>
      </c>
      <c r="R129" s="1">
        <v>46141</v>
      </c>
      <c r="S129">
        <v>1912.91</v>
      </c>
      <c r="T129">
        <v>1912.91</v>
      </c>
      <c r="U129">
        <v>1912.91</v>
      </c>
      <c r="V129">
        <v>3612009283</v>
      </c>
      <c r="W129">
        <v>6</v>
      </c>
      <c r="X129" t="s">
        <v>23</v>
      </c>
      <c r="Y129" t="s">
        <v>39</v>
      </c>
      <c r="Z129">
        <v>0</v>
      </c>
      <c r="AA129">
        <v>75</v>
      </c>
      <c r="AB129">
        <v>3</v>
      </c>
      <c r="AC129" t="s">
        <v>40</v>
      </c>
      <c r="AD129">
        <v>3</v>
      </c>
      <c r="AE129" t="s">
        <v>41</v>
      </c>
      <c r="AF129" t="s">
        <v>41</v>
      </c>
      <c r="AG129" t="s">
        <v>23</v>
      </c>
      <c r="AH129" t="s">
        <v>42</v>
      </c>
      <c r="AI129" t="s">
        <v>46</v>
      </c>
      <c r="AJ129" t="s">
        <v>47</v>
      </c>
      <c r="AK129" t="s">
        <v>43</v>
      </c>
      <c r="AL129" t="s">
        <v>44</v>
      </c>
      <c r="AM129" t="s">
        <v>45</v>
      </c>
      <c r="AN129" t="s">
        <v>41</v>
      </c>
    </row>
    <row r="130" spans="1:40" x14ac:dyDescent="0.25">
      <c r="A130">
        <v>2</v>
      </c>
      <c r="B130">
        <v>3783</v>
      </c>
      <c r="C130" t="s">
        <v>216</v>
      </c>
      <c r="D130">
        <v>2</v>
      </c>
      <c r="E130">
        <v>96081</v>
      </c>
      <c r="F130">
        <v>0</v>
      </c>
      <c r="G130">
        <v>1</v>
      </c>
      <c r="H130">
        <v>5</v>
      </c>
      <c r="I130">
        <v>50</v>
      </c>
      <c r="J130">
        <v>513</v>
      </c>
      <c r="K130">
        <v>4</v>
      </c>
      <c r="L130">
        <v>0</v>
      </c>
      <c r="M130">
        <v>237</v>
      </c>
      <c r="N130" t="s">
        <v>38</v>
      </c>
      <c r="O130">
        <v>5</v>
      </c>
      <c r="P130" s="1">
        <v>46132</v>
      </c>
      <c r="Q130" s="1">
        <v>46134</v>
      </c>
      <c r="R130" s="1">
        <v>46141</v>
      </c>
      <c r="S130">
        <v>830.14</v>
      </c>
      <c r="T130">
        <v>830.14</v>
      </c>
      <c r="U130">
        <v>830.14</v>
      </c>
      <c r="V130">
        <v>3612009279</v>
      </c>
      <c r="W130">
        <v>8</v>
      </c>
      <c r="X130" t="s">
        <v>23</v>
      </c>
      <c r="Y130" t="s">
        <v>39</v>
      </c>
      <c r="Z130">
        <v>0</v>
      </c>
      <c r="AA130">
        <v>75</v>
      </c>
      <c r="AB130">
        <v>4</v>
      </c>
      <c r="AC130" t="s">
        <v>40</v>
      </c>
      <c r="AD130">
        <v>4</v>
      </c>
      <c r="AE130" t="s">
        <v>41</v>
      </c>
      <c r="AF130" t="s">
        <v>41</v>
      </c>
      <c r="AG130" t="s">
        <v>23</v>
      </c>
      <c r="AH130" t="s">
        <v>42</v>
      </c>
      <c r="AI130" t="s">
        <v>46</v>
      </c>
      <c r="AJ130" t="s">
        <v>47</v>
      </c>
      <c r="AK130" t="s">
        <v>43</v>
      </c>
      <c r="AL130" t="s">
        <v>44</v>
      </c>
      <c r="AM130" t="s">
        <v>45</v>
      </c>
      <c r="AN130" t="s">
        <v>41</v>
      </c>
    </row>
    <row r="131" spans="1:40" x14ac:dyDescent="0.25">
      <c r="A131">
        <v>2</v>
      </c>
      <c r="B131">
        <v>3827</v>
      </c>
      <c r="C131" t="s">
        <v>217</v>
      </c>
      <c r="D131">
        <v>2</v>
      </c>
      <c r="E131">
        <v>96019</v>
      </c>
      <c r="F131">
        <v>0</v>
      </c>
      <c r="G131">
        <v>1</v>
      </c>
      <c r="H131">
        <v>5</v>
      </c>
      <c r="I131">
        <v>50</v>
      </c>
      <c r="J131">
        <v>513</v>
      </c>
      <c r="K131">
        <v>4</v>
      </c>
      <c r="L131">
        <v>0</v>
      </c>
      <c r="M131">
        <v>237</v>
      </c>
      <c r="N131" t="s">
        <v>38</v>
      </c>
      <c r="O131">
        <v>5</v>
      </c>
      <c r="P131" s="1">
        <v>46132</v>
      </c>
      <c r="Q131" s="1">
        <v>46134</v>
      </c>
      <c r="R131" s="1">
        <v>46141</v>
      </c>
      <c r="S131">
        <v>476.93</v>
      </c>
      <c r="T131">
        <v>476.93</v>
      </c>
      <c r="U131">
        <v>476.93</v>
      </c>
      <c r="V131">
        <v>3612009267</v>
      </c>
      <c r="W131">
        <v>4</v>
      </c>
      <c r="X131" t="s">
        <v>23</v>
      </c>
      <c r="Y131" t="s">
        <v>39</v>
      </c>
      <c r="Z131">
        <v>0</v>
      </c>
      <c r="AA131">
        <v>73</v>
      </c>
      <c r="AB131">
        <v>3</v>
      </c>
      <c r="AC131" t="s">
        <v>40</v>
      </c>
      <c r="AD131">
        <v>3</v>
      </c>
      <c r="AE131" t="s">
        <v>41</v>
      </c>
      <c r="AF131" t="s">
        <v>41</v>
      </c>
      <c r="AG131" t="s">
        <v>23</v>
      </c>
      <c r="AH131" t="s">
        <v>42</v>
      </c>
      <c r="AI131" t="s">
        <v>46</v>
      </c>
      <c r="AJ131" t="s">
        <v>47</v>
      </c>
      <c r="AK131" t="s">
        <v>43</v>
      </c>
      <c r="AL131" t="s">
        <v>44</v>
      </c>
      <c r="AM131" t="s">
        <v>45</v>
      </c>
      <c r="AN131" t="s">
        <v>41</v>
      </c>
    </row>
    <row r="132" spans="1:40" x14ac:dyDescent="0.25">
      <c r="A132">
        <v>2</v>
      </c>
      <c r="B132">
        <v>3841</v>
      </c>
      <c r="C132" t="s">
        <v>218</v>
      </c>
      <c r="D132">
        <v>2</v>
      </c>
      <c r="E132">
        <v>95821</v>
      </c>
      <c r="F132">
        <v>0</v>
      </c>
      <c r="G132">
        <v>1</v>
      </c>
      <c r="H132">
        <v>5</v>
      </c>
      <c r="I132">
        <v>50</v>
      </c>
      <c r="J132">
        <v>515</v>
      </c>
      <c r="K132">
        <v>4</v>
      </c>
      <c r="L132">
        <v>0</v>
      </c>
      <c r="M132">
        <v>237</v>
      </c>
      <c r="N132" t="s">
        <v>38</v>
      </c>
      <c r="O132">
        <v>5</v>
      </c>
      <c r="P132" s="1">
        <v>46132</v>
      </c>
      <c r="Q132" s="1">
        <v>46134</v>
      </c>
      <c r="R132" s="1">
        <v>46141</v>
      </c>
      <c r="S132">
        <v>1081.6300000000001</v>
      </c>
      <c r="T132">
        <v>1081.6300000000001</v>
      </c>
      <c r="U132">
        <v>1081.6300000000001</v>
      </c>
      <c r="V132">
        <v>3612009236</v>
      </c>
      <c r="W132">
        <v>4</v>
      </c>
      <c r="X132" t="s">
        <v>23</v>
      </c>
      <c r="Y132" t="s">
        <v>39</v>
      </c>
      <c r="Z132">
        <v>0</v>
      </c>
      <c r="AA132">
        <v>75</v>
      </c>
      <c r="AB132">
        <v>3</v>
      </c>
      <c r="AC132" t="s">
        <v>40</v>
      </c>
      <c r="AD132">
        <v>3</v>
      </c>
      <c r="AE132" t="s">
        <v>41</v>
      </c>
      <c r="AF132" t="s">
        <v>41</v>
      </c>
      <c r="AG132" t="s">
        <v>23</v>
      </c>
      <c r="AH132" t="s">
        <v>42</v>
      </c>
      <c r="AI132" t="s">
        <v>46</v>
      </c>
      <c r="AJ132" t="s">
        <v>47</v>
      </c>
      <c r="AK132" t="s">
        <v>43</v>
      </c>
      <c r="AL132" t="s">
        <v>44</v>
      </c>
      <c r="AM132" t="s">
        <v>45</v>
      </c>
      <c r="AN132" t="s">
        <v>41</v>
      </c>
    </row>
    <row r="133" spans="1:40" x14ac:dyDescent="0.25">
      <c r="A133">
        <v>2</v>
      </c>
      <c r="B133">
        <v>3842</v>
      </c>
      <c r="C133" t="s">
        <v>219</v>
      </c>
      <c r="D133">
        <v>2</v>
      </c>
      <c r="E133">
        <v>95932</v>
      </c>
      <c r="F133">
        <v>0</v>
      </c>
      <c r="G133">
        <v>1</v>
      </c>
      <c r="H133">
        <v>5</v>
      </c>
      <c r="I133">
        <v>50</v>
      </c>
      <c r="J133">
        <v>514</v>
      </c>
      <c r="K133">
        <v>4</v>
      </c>
      <c r="L133">
        <v>0</v>
      </c>
      <c r="M133">
        <v>237</v>
      </c>
      <c r="N133" t="s">
        <v>38</v>
      </c>
      <c r="O133">
        <v>5</v>
      </c>
      <c r="P133" s="1">
        <v>46132</v>
      </c>
      <c r="Q133" s="1">
        <v>46134</v>
      </c>
      <c r="R133" s="1">
        <v>46141</v>
      </c>
      <c r="S133">
        <v>352.26</v>
      </c>
      <c r="T133">
        <v>352.26</v>
      </c>
      <c r="U133">
        <v>352.26</v>
      </c>
      <c r="V133">
        <v>3612009253</v>
      </c>
      <c r="W133">
        <v>4</v>
      </c>
      <c r="X133" t="s">
        <v>23</v>
      </c>
      <c r="Y133" t="s">
        <v>39</v>
      </c>
      <c r="Z133">
        <v>0</v>
      </c>
      <c r="AA133">
        <v>73</v>
      </c>
      <c r="AB133">
        <v>3</v>
      </c>
      <c r="AC133" t="s">
        <v>40</v>
      </c>
      <c r="AD133">
        <v>3</v>
      </c>
      <c r="AE133" t="s">
        <v>41</v>
      </c>
      <c r="AF133" t="s">
        <v>41</v>
      </c>
      <c r="AG133" t="s">
        <v>23</v>
      </c>
      <c r="AH133" t="s">
        <v>42</v>
      </c>
      <c r="AI133" t="s">
        <v>46</v>
      </c>
      <c r="AJ133" t="s">
        <v>47</v>
      </c>
      <c r="AK133" t="s">
        <v>43</v>
      </c>
      <c r="AL133" t="s">
        <v>44</v>
      </c>
      <c r="AM133" t="s">
        <v>45</v>
      </c>
      <c r="AN133" t="s">
        <v>41</v>
      </c>
    </row>
    <row r="134" spans="1:40" x14ac:dyDescent="0.25">
      <c r="A134">
        <v>2</v>
      </c>
      <c r="B134">
        <v>3856</v>
      </c>
      <c r="C134" t="s">
        <v>164</v>
      </c>
      <c r="D134">
        <v>2</v>
      </c>
      <c r="E134">
        <v>96109</v>
      </c>
      <c r="F134">
        <v>0</v>
      </c>
      <c r="G134">
        <v>1</v>
      </c>
      <c r="H134">
        <v>1</v>
      </c>
      <c r="I134">
        <v>10</v>
      </c>
      <c r="J134">
        <v>101</v>
      </c>
      <c r="K134">
        <v>4</v>
      </c>
      <c r="L134">
        <v>0</v>
      </c>
      <c r="M134">
        <v>237</v>
      </c>
      <c r="N134" t="s">
        <v>38</v>
      </c>
      <c r="O134">
        <v>5</v>
      </c>
      <c r="P134" s="1">
        <v>46132</v>
      </c>
      <c r="Q134" s="1">
        <v>46134</v>
      </c>
      <c r="R134" s="1">
        <v>46141</v>
      </c>
      <c r="S134">
        <v>563.25</v>
      </c>
      <c r="T134">
        <v>563.25</v>
      </c>
      <c r="U134">
        <v>563.25</v>
      </c>
      <c r="V134">
        <v>3612009284</v>
      </c>
      <c r="W134">
        <v>4</v>
      </c>
      <c r="X134" t="s">
        <v>23</v>
      </c>
      <c r="Y134" t="s">
        <v>39</v>
      </c>
      <c r="Z134">
        <v>0</v>
      </c>
      <c r="AA134">
        <v>73</v>
      </c>
      <c r="AB134">
        <v>3</v>
      </c>
      <c r="AC134" t="s">
        <v>40</v>
      </c>
      <c r="AD134">
        <v>3</v>
      </c>
      <c r="AE134" t="s">
        <v>41</v>
      </c>
      <c r="AF134" t="s">
        <v>41</v>
      </c>
      <c r="AG134" t="s">
        <v>23</v>
      </c>
      <c r="AH134" t="s">
        <v>42</v>
      </c>
      <c r="AI134" t="s">
        <v>46</v>
      </c>
      <c r="AJ134" t="s">
        <v>47</v>
      </c>
      <c r="AK134" t="s">
        <v>43</v>
      </c>
      <c r="AL134" t="s">
        <v>44</v>
      </c>
      <c r="AM134" t="s">
        <v>45</v>
      </c>
      <c r="AN134" t="s">
        <v>41</v>
      </c>
    </row>
    <row r="135" spans="1:40" x14ac:dyDescent="0.25">
      <c r="A135">
        <v>2</v>
      </c>
      <c r="B135">
        <v>3900</v>
      </c>
      <c r="C135" t="s">
        <v>220</v>
      </c>
      <c r="D135">
        <v>2</v>
      </c>
      <c r="E135">
        <v>95858</v>
      </c>
      <c r="F135">
        <v>0</v>
      </c>
      <c r="G135">
        <v>1</v>
      </c>
      <c r="H135">
        <v>1</v>
      </c>
      <c r="I135">
        <v>10</v>
      </c>
      <c r="J135">
        <v>104</v>
      </c>
      <c r="K135">
        <v>4</v>
      </c>
      <c r="L135">
        <v>0</v>
      </c>
      <c r="M135">
        <v>237</v>
      </c>
      <c r="N135" t="s">
        <v>38</v>
      </c>
      <c r="O135">
        <v>5</v>
      </c>
      <c r="P135" s="1">
        <v>46132</v>
      </c>
      <c r="Q135" s="1">
        <v>46134</v>
      </c>
      <c r="R135" s="1">
        <v>46141</v>
      </c>
      <c r="S135">
        <v>470.53</v>
      </c>
      <c r="T135">
        <v>470.53</v>
      </c>
      <c r="U135">
        <v>470.53</v>
      </c>
      <c r="V135">
        <v>3612009242</v>
      </c>
      <c r="W135">
        <v>9</v>
      </c>
      <c r="X135" t="s">
        <v>23</v>
      </c>
      <c r="Y135" t="s">
        <v>39</v>
      </c>
      <c r="Z135">
        <v>0</v>
      </c>
      <c r="AA135">
        <v>73</v>
      </c>
      <c r="AB135">
        <v>3</v>
      </c>
      <c r="AC135" t="s">
        <v>40</v>
      </c>
      <c r="AD135">
        <v>3</v>
      </c>
      <c r="AE135" t="s">
        <v>41</v>
      </c>
      <c r="AF135" t="s">
        <v>41</v>
      </c>
      <c r="AG135" t="s">
        <v>23</v>
      </c>
      <c r="AH135" t="s">
        <v>42</v>
      </c>
      <c r="AI135" t="s">
        <v>46</v>
      </c>
      <c r="AJ135" t="s">
        <v>47</v>
      </c>
      <c r="AK135" t="s">
        <v>43</v>
      </c>
      <c r="AL135" t="s">
        <v>44</v>
      </c>
      <c r="AM135" t="s">
        <v>45</v>
      </c>
      <c r="AN135" t="s">
        <v>41</v>
      </c>
    </row>
    <row r="136" spans="1:40" x14ac:dyDescent="0.25">
      <c r="A136">
        <v>2</v>
      </c>
      <c r="B136">
        <v>3984</v>
      </c>
      <c r="C136" t="s">
        <v>165</v>
      </c>
      <c r="D136">
        <v>2</v>
      </c>
      <c r="E136">
        <v>96123</v>
      </c>
      <c r="F136">
        <v>0</v>
      </c>
      <c r="G136">
        <v>1</v>
      </c>
      <c r="H136">
        <v>1</v>
      </c>
      <c r="I136">
        <v>10</v>
      </c>
      <c r="J136">
        <v>103</v>
      </c>
      <c r="K136">
        <v>4</v>
      </c>
      <c r="L136">
        <v>0</v>
      </c>
      <c r="M136">
        <v>237</v>
      </c>
      <c r="N136" t="s">
        <v>38</v>
      </c>
      <c r="O136">
        <v>5</v>
      </c>
      <c r="P136" s="1">
        <v>46132</v>
      </c>
      <c r="Q136" s="1">
        <v>46134</v>
      </c>
      <c r="R136" s="1">
        <v>46141</v>
      </c>
      <c r="S136">
        <v>333.94</v>
      </c>
      <c r="T136">
        <v>333.94</v>
      </c>
      <c r="U136">
        <v>333.94</v>
      </c>
      <c r="V136">
        <v>3612009285</v>
      </c>
      <c r="W136">
        <v>2</v>
      </c>
      <c r="X136" t="s">
        <v>23</v>
      </c>
      <c r="Y136" t="s">
        <v>39</v>
      </c>
      <c r="Z136">
        <v>0</v>
      </c>
      <c r="AA136">
        <v>75</v>
      </c>
      <c r="AB136">
        <v>5</v>
      </c>
      <c r="AC136" t="s">
        <v>40</v>
      </c>
      <c r="AD136">
        <v>5</v>
      </c>
      <c r="AE136" t="s">
        <v>41</v>
      </c>
      <c r="AF136" t="s">
        <v>41</v>
      </c>
      <c r="AG136" t="s">
        <v>23</v>
      </c>
      <c r="AH136" t="s">
        <v>42</v>
      </c>
      <c r="AI136" t="s">
        <v>46</v>
      </c>
      <c r="AJ136" t="s">
        <v>47</v>
      </c>
      <c r="AK136" t="s">
        <v>43</v>
      </c>
      <c r="AL136" t="s">
        <v>44</v>
      </c>
      <c r="AM136" t="s">
        <v>45</v>
      </c>
      <c r="AN136" t="s">
        <v>41</v>
      </c>
    </row>
    <row r="137" spans="1:40" x14ac:dyDescent="0.25">
      <c r="A137">
        <v>2</v>
      </c>
      <c r="B137">
        <v>903</v>
      </c>
      <c r="C137" t="s">
        <v>231</v>
      </c>
      <c r="D137">
        <v>2</v>
      </c>
      <c r="E137">
        <v>96142</v>
      </c>
      <c r="F137">
        <v>0</v>
      </c>
      <c r="G137">
        <v>1</v>
      </c>
      <c r="H137">
        <v>5</v>
      </c>
      <c r="I137">
        <v>50</v>
      </c>
      <c r="J137">
        <v>514</v>
      </c>
      <c r="K137">
        <v>4</v>
      </c>
      <c r="L137">
        <v>0</v>
      </c>
      <c r="M137">
        <v>237</v>
      </c>
      <c r="N137" t="s">
        <v>38</v>
      </c>
      <c r="O137">
        <v>6</v>
      </c>
      <c r="P137" s="1">
        <v>46134</v>
      </c>
      <c r="Q137" s="1">
        <v>46135</v>
      </c>
      <c r="R137" s="1">
        <v>46142</v>
      </c>
      <c r="S137">
        <v>1823.19</v>
      </c>
      <c r="T137">
        <v>1823.19</v>
      </c>
      <c r="U137">
        <v>1823.19</v>
      </c>
      <c r="V137">
        <v>3612009292</v>
      </c>
      <c r="W137">
        <v>5</v>
      </c>
      <c r="X137" t="s">
        <v>23</v>
      </c>
      <c r="Y137" t="s">
        <v>39</v>
      </c>
      <c r="Z137">
        <v>0</v>
      </c>
      <c r="AA137">
        <v>75</v>
      </c>
      <c r="AB137">
        <v>5</v>
      </c>
      <c r="AC137" t="s">
        <v>40</v>
      </c>
      <c r="AD137">
        <v>5</v>
      </c>
      <c r="AE137" t="s">
        <v>41</v>
      </c>
      <c r="AF137" t="s">
        <v>41</v>
      </c>
      <c r="AG137" t="s">
        <v>23</v>
      </c>
      <c r="AH137" t="s">
        <v>42</v>
      </c>
      <c r="AI137" t="s">
        <v>46</v>
      </c>
      <c r="AJ137" t="s">
        <v>47</v>
      </c>
      <c r="AK137" t="s">
        <v>43</v>
      </c>
      <c r="AL137" t="s">
        <v>44</v>
      </c>
      <c r="AM137" t="s">
        <v>45</v>
      </c>
      <c r="AN137" t="s">
        <v>41</v>
      </c>
    </row>
    <row r="138" spans="1:40" x14ac:dyDescent="0.25">
      <c r="A138">
        <v>2</v>
      </c>
      <c r="B138">
        <v>1023</v>
      </c>
      <c r="C138" t="s">
        <v>232</v>
      </c>
      <c r="D138">
        <v>2</v>
      </c>
      <c r="E138">
        <v>96199</v>
      </c>
      <c r="F138">
        <v>0</v>
      </c>
      <c r="G138">
        <v>1</v>
      </c>
      <c r="H138">
        <v>5</v>
      </c>
      <c r="I138">
        <v>50</v>
      </c>
      <c r="J138">
        <v>511</v>
      </c>
      <c r="K138">
        <v>4</v>
      </c>
      <c r="L138">
        <v>0</v>
      </c>
      <c r="M138">
        <v>237</v>
      </c>
      <c r="N138" t="s">
        <v>38</v>
      </c>
      <c r="O138">
        <v>6</v>
      </c>
      <c r="P138" s="1">
        <v>46134</v>
      </c>
      <c r="Q138" s="1">
        <v>46135</v>
      </c>
      <c r="R138" s="1">
        <v>46142</v>
      </c>
      <c r="S138">
        <v>519.29</v>
      </c>
      <c r="T138">
        <v>519.29</v>
      </c>
      <c r="U138">
        <v>519.29</v>
      </c>
      <c r="V138">
        <v>3612009307</v>
      </c>
      <c r="W138">
        <v>7</v>
      </c>
      <c r="X138" t="s">
        <v>23</v>
      </c>
      <c r="Y138" t="s">
        <v>39</v>
      </c>
      <c r="Z138">
        <v>0</v>
      </c>
      <c r="AA138">
        <v>75</v>
      </c>
      <c r="AB138">
        <v>6</v>
      </c>
      <c r="AC138" t="s">
        <v>40</v>
      </c>
      <c r="AD138">
        <v>6</v>
      </c>
      <c r="AE138" t="s">
        <v>41</v>
      </c>
      <c r="AF138" t="s">
        <v>41</v>
      </c>
      <c r="AG138" t="s">
        <v>23</v>
      </c>
      <c r="AH138" t="s">
        <v>42</v>
      </c>
      <c r="AI138" t="s">
        <v>46</v>
      </c>
      <c r="AJ138" t="s">
        <v>47</v>
      </c>
      <c r="AK138" t="s">
        <v>43</v>
      </c>
      <c r="AL138" t="s">
        <v>44</v>
      </c>
      <c r="AM138" t="s">
        <v>45</v>
      </c>
      <c r="AN138" t="s">
        <v>41</v>
      </c>
    </row>
    <row r="139" spans="1:40" x14ac:dyDescent="0.25">
      <c r="A139">
        <v>2</v>
      </c>
      <c r="B139">
        <v>2164</v>
      </c>
      <c r="C139" t="s">
        <v>144</v>
      </c>
      <c r="D139">
        <v>2</v>
      </c>
      <c r="E139">
        <v>96258</v>
      </c>
      <c r="F139">
        <v>0</v>
      </c>
      <c r="G139">
        <v>1</v>
      </c>
      <c r="H139">
        <v>1</v>
      </c>
      <c r="I139">
        <v>10</v>
      </c>
      <c r="J139">
        <v>104</v>
      </c>
      <c r="K139">
        <v>4</v>
      </c>
      <c r="L139">
        <v>0</v>
      </c>
      <c r="M139">
        <v>237</v>
      </c>
      <c r="N139" t="s">
        <v>38</v>
      </c>
      <c r="O139">
        <v>6</v>
      </c>
      <c r="P139" s="1">
        <v>46134</v>
      </c>
      <c r="Q139" s="1">
        <v>46135</v>
      </c>
      <c r="R139" s="1">
        <v>46142</v>
      </c>
      <c r="S139">
        <v>366.14</v>
      </c>
      <c r="T139">
        <v>366.14</v>
      </c>
      <c r="U139">
        <v>366.14</v>
      </c>
      <c r="V139">
        <v>3612009315</v>
      </c>
      <c r="W139">
        <v>8</v>
      </c>
      <c r="X139" t="s">
        <v>23</v>
      </c>
      <c r="Y139" t="s">
        <v>39</v>
      </c>
      <c r="Z139">
        <v>0</v>
      </c>
      <c r="AA139">
        <v>75</v>
      </c>
      <c r="AB139">
        <v>4</v>
      </c>
      <c r="AC139" t="s">
        <v>40</v>
      </c>
      <c r="AD139">
        <v>4</v>
      </c>
      <c r="AE139" t="s">
        <v>41</v>
      </c>
      <c r="AF139" t="s">
        <v>41</v>
      </c>
      <c r="AG139" t="s">
        <v>23</v>
      </c>
      <c r="AH139" t="s">
        <v>42</v>
      </c>
      <c r="AI139" t="s">
        <v>46</v>
      </c>
      <c r="AJ139" t="s">
        <v>47</v>
      </c>
      <c r="AK139" t="s">
        <v>43</v>
      </c>
      <c r="AL139" t="s">
        <v>44</v>
      </c>
      <c r="AM139" t="s">
        <v>45</v>
      </c>
      <c r="AN139" t="s">
        <v>41</v>
      </c>
    </row>
    <row r="140" spans="1:40" x14ac:dyDescent="0.25">
      <c r="A140">
        <v>2</v>
      </c>
      <c r="B140">
        <v>2172</v>
      </c>
      <c r="C140" t="s">
        <v>233</v>
      </c>
      <c r="D140">
        <v>2</v>
      </c>
      <c r="E140">
        <v>96266</v>
      </c>
      <c r="F140">
        <v>0</v>
      </c>
      <c r="G140">
        <v>1</v>
      </c>
      <c r="H140">
        <v>1</v>
      </c>
      <c r="I140">
        <v>10</v>
      </c>
      <c r="J140">
        <v>104</v>
      </c>
      <c r="K140">
        <v>4</v>
      </c>
      <c r="L140">
        <v>0</v>
      </c>
      <c r="M140">
        <v>237</v>
      </c>
      <c r="N140" t="s">
        <v>38</v>
      </c>
      <c r="O140">
        <v>6</v>
      </c>
      <c r="P140" s="1">
        <v>46134</v>
      </c>
      <c r="Q140" s="1">
        <v>46135</v>
      </c>
      <c r="R140" s="1">
        <v>46142</v>
      </c>
      <c r="S140">
        <v>997.2</v>
      </c>
      <c r="T140">
        <v>997.2</v>
      </c>
      <c r="U140">
        <v>997.2</v>
      </c>
      <c r="V140">
        <v>3612009321</v>
      </c>
      <c r="W140">
        <v>2</v>
      </c>
      <c r="X140" t="s">
        <v>23</v>
      </c>
      <c r="Y140" t="s">
        <v>39</v>
      </c>
      <c r="Z140">
        <v>0</v>
      </c>
      <c r="AA140">
        <v>75</v>
      </c>
      <c r="AB140">
        <v>4</v>
      </c>
      <c r="AC140" t="s">
        <v>40</v>
      </c>
      <c r="AD140">
        <v>4</v>
      </c>
      <c r="AE140" t="s">
        <v>41</v>
      </c>
      <c r="AF140" t="s">
        <v>41</v>
      </c>
      <c r="AG140" t="s">
        <v>23</v>
      </c>
      <c r="AH140" t="s">
        <v>42</v>
      </c>
      <c r="AI140" t="s">
        <v>46</v>
      </c>
      <c r="AJ140" t="s">
        <v>47</v>
      </c>
      <c r="AK140" t="s">
        <v>43</v>
      </c>
      <c r="AL140" t="s">
        <v>44</v>
      </c>
      <c r="AM140" t="s">
        <v>45</v>
      </c>
      <c r="AN140" t="s">
        <v>41</v>
      </c>
    </row>
    <row r="141" spans="1:40" x14ac:dyDescent="0.25">
      <c r="A141">
        <v>2</v>
      </c>
      <c r="B141">
        <v>2247</v>
      </c>
      <c r="C141" t="s">
        <v>234</v>
      </c>
      <c r="D141">
        <v>2</v>
      </c>
      <c r="E141">
        <v>96262</v>
      </c>
      <c r="F141">
        <v>0</v>
      </c>
      <c r="G141">
        <v>1</v>
      </c>
      <c r="H141">
        <v>1</v>
      </c>
      <c r="I141">
        <v>10</v>
      </c>
      <c r="J141">
        <v>104</v>
      </c>
      <c r="K141">
        <v>4</v>
      </c>
      <c r="L141">
        <v>0</v>
      </c>
      <c r="M141">
        <v>237</v>
      </c>
      <c r="N141" t="s">
        <v>38</v>
      </c>
      <c r="O141">
        <v>6</v>
      </c>
      <c r="P141" s="1">
        <v>46134</v>
      </c>
      <c r="Q141" s="1">
        <v>46135</v>
      </c>
      <c r="R141" s="1">
        <v>46142</v>
      </c>
      <c r="S141">
        <v>292.12</v>
      </c>
      <c r="T141">
        <v>292.12</v>
      </c>
      <c r="U141">
        <v>292.12</v>
      </c>
      <c r="V141">
        <v>3612009318</v>
      </c>
      <c r="W141">
        <v>2</v>
      </c>
      <c r="X141" t="s">
        <v>23</v>
      </c>
      <c r="Y141" t="s">
        <v>39</v>
      </c>
      <c r="Z141">
        <v>0</v>
      </c>
      <c r="AA141">
        <v>75</v>
      </c>
      <c r="AB141">
        <v>6</v>
      </c>
      <c r="AC141" t="s">
        <v>40</v>
      </c>
      <c r="AD141">
        <v>6</v>
      </c>
      <c r="AE141" t="s">
        <v>41</v>
      </c>
      <c r="AF141" t="s">
        <v>41</v>
      </c>
      <c r="AG141" t="s">
        <v>23</v>
      </c>
      <c r="AH141" t="s">
        <v>42</v>
      </c>
      <c r="AI141" t="s">
        <v>46</v>
      </c>
      <c r="AJ141" t="s">
        <v>47</v>
      </c>
      <c r="AK141" t="s">
        <v>43</v>
      </c>
      <c r="AL141" t="s">
        <v>44</v>
      </c>
      <c r="AM141" t="s">
        <v>45</v>
      </c>
      <c r="AN141" t="s">
        <v>41</v>
      </c>
    </row>
    <row r="142" spans="1:40" x14ac:dyDescent="0.25">
      <c r="A142">
        <v>2</v>
      </c>
      <c r="B142">
        <v>2442</v>
      </c>
      <c r="C142" t="s">
        <v>130</v>
      </c>
      <c r="D142">
        <v>2</v>
      </c>
      <c r="E142">
        <v>96164</v>
      </c>
      <c r="F142">
        <v>0</v>
      </c>
      <c r="G142">
        <v>1</v>
      </c>
      <c r="H142">
        <v>5</v>
      </c>
      <c r="I142">
        <v>50</v>
      </c>
      <c r="J142">
        <v>512</v>
      </c>
      <c r="K142">
        <v>4</v>
      </c>
      <c r="L142">
        <v>0</v>
      </c>
      <c r="M142">
        <v>237</v>
      </c>
      <c r="N142" t="s">
        <v>38</v>
      </c>
      <c r="O142">
        <v>6</v>
      </c>
      <c r="P142" s="1">
        <v>46134</v>
      </c>
      <c r="Q142" s="1">
        <v>46135</v>
      </c>
      <c r="R142" s="1">
        <v>46142</v>
      </c>
      <c r="S142">
        <v>431.03</v>
      </c>
      <c r="T142">
        <v>431.03</v>
      </c>
      <c r="U142">
        <v>431.03</v>
      </c>
      <c r="V142">
        <v>3612009298</v>
      </c>
      <c r="W142">
        <v>4</v>
      </c>
      <c r="X142" t="s">
        <v>23</v>
      </c>
      <c r="Y142" t="s">
        <v>39</v>
      </c>
      <c r="Z142">
        <v>0</v>
      </c>
      <c r="AA142">
        <v>75</v>
      </c>
      <c r="AB142">
        <v>3</v>
      </c>
      <c r="AC142" t="s">
        <v>40</v>
      </c>
      <c r="AD142">
        <v>3</v>
      </c>
      <c r="AE142" t="s">
        <v>41</v>
      </c>
      <c r="AF142" t="s">
        <v>41</v>
      </c>
      <c r="AG142" t="s">
        <v>23</v>
      </c>
      <c r="AH142" t="s">
        <v>42</v>
      </c>
      <c r="AI142" t="s">
        <v>46</v>
      </c>
      <c r="AJ142" t="s">
        <v>47</v>
      </c>
      <c r="AK142" t="s">
        <v>43</v>
      </c>
      <c r="AL142" t="s">
        <v>44</v>
      </c>
      <c r="AM142" t="s">
        <v>45</v>
      </c>
      <c r="AN142" t="s">
        <v>41</v>
      </c>
    </row>
    <row r="143" spans="1:40" x14ac:dyDescent="0.25">
      <c r="A143">
        <v>2</v>
      </c>
      <c r="B143">
        <v>2728</v>
      </c>
      <c r="C143" t="s">
        <v>131</v>
      </c>
      <c r="D143">
        <v>2</v>
      </c>
      <c r="E143">
        <v>96160</v>
      </c>
      <c r="F143">
        <v>0</v>
      </c>
      <c r="G143">
        <v>1</v>
      </c>
      <c r="H143">
        <v>5</v>
      </c>
      <c r="I143">
        <v>50</v>
      </c>
      <c r="J143">
        <v>512</v>
      </c>
      <c r="K143">
        <v>4</v>
      </c>
      <c r="L143">
        <v>0</v>
      </c>
      <c r="M143">
        <v>237</v>
      </c>
      <c r="N143" t="s">
        <v>38</v>
      </c>
      <c r="O143">
        <v>6</v>
      </c>
      <c r="P143" s="1">
        <v>46134</v>
      </c>
      <c r="Q143" s="1">
        <v>46135</v>
      </c>
      <c r="R143" s="1">
        <v>46142</v>
      </c>
      <c r="S143">
        <v>539.99</v>
      </c>
      <c r="T143">
        <v>539.99</v>
      </c>
      <c r="U143">
        <v>539.99</v>
      </c>
      <c r="V143">
        <v>3612009296</v>
      </c>
      <c r="W143">
        <v>8</v>
      </c>
      <c r="X143" t="s">
        <v>23</v>
      </c>
      <c r="Y143" t="s">
        <v>39</v>
      </c>
      <c r="Z143">
        <v>0</v>
      </c>
      <c r="AA143">
        <v>73</v>
      </c>
      <c r="AB143">
        <v>3</v>
      </c>
      <c r="AC143" t="s">
        <v>40</v>
      </c>
      <c r="AD143">
        <v>3</v>
      </c>
      <c r="AE143" t="s">
        <v>41</v>
      </c>
      <c r="AF143" t="s">
        <v>41</v>
      </c>
      <c r="AG143" t="s">
        <v>23</v>
      </c>
      <c r="AH143" t="s">
        <v>42</v>
      </c>
      <c r="AI143" t="s">
        <v>46</v>
      </c>
      <c r="AJ143" t="s">
        <v>47</v>
      </c>
      <c r="AK143" t="s">
        <v>43</v>
      </c>
      <c r="AL143" t="s">
        <v>44</v>
      </c>
      <c r="AM143" t="s">
        <v>45</v>
      </c>
      <c r="AN143" t="s">
        <v>41</v>
      </c>
    </row>
    <row r="144" spans="1:40" x14ac:dyDescent="0.25">
      <c r="A144">
        <v>2</v>
      </c>
      <c r="B144">
        <v>2834</v>
      </c>
      <c r="C144" t="s">
        <v>143</v>
      </c>
      <c r="D144">
        <v>2</v>
      </c>
      <c r="E144">
        <v>96133</v>
      </c>
      <c r="F144">
        <v>0</v>
      </c>
      <c r="G144">
        <v>1</v>
      </c>
      <c r="H144">
        <v>5</v>
      </c>
      <c r="I144">
        <v>50</v>
      </c>
      <c r="J144">
        <v>514</v>
      </c>
      <c r="K144">
        <v>4</v>
      </c>
      <c r="L144">
        <v>0</v>
      </c>
      <c r="M144">
        <v>237</v>
      </c>
      <c r="N144" t="s">
        <v>38</v>
      </c>
      <c r="O144">
        <v>6</v>
      </c>
      <c r="P144" s="1">
        <v>46134</v>
      </c>
      <c r="Q144" s="1">
        <v>46135</v>
      </c>
      <c r="R144" s="1">
        <v>46142</v>
      </c>
      <c r="S144">
        <v>496.11</v>
      </c>
      <c r="T144">
        <v>496.11</v>
      </c>
      <c r="U144">
        <v>496.11</v>
      </c>
      <c r="V144">
        <v>3612009289</v>
      </c>
      <c r="W144">
        <v>5</v>
      </c>
      <c r="X144" t="s">
        <v>23</v>
      </c>
      <c r="Y144" t="s">
        <v>39</v>
      </c>
      <c r="Z144">
        <v>0</v>
      </c>
      <c r="AA144">
        <v>73</v>
      </c>
      <c r="AB144">
        <v>3</v>
      </c>
      <c r="AC144" t="s">
        <v>40</v>
      </c>
      <c r="AD144">
        <v>3</v>
      </c>
      <c r="AE144" t="s">
        <v>41</v>
      </c>
      <c r="AF144" t="s">
        <v>41</v>
      </c>
      <c r="AG144" t="s">
        <v>23</v>
      </c>
      <c r="AH144" t="s">
        <v>42</v>
      </c>
      <c r="AI144" t="s">
        <v>46</v>
      </c>
      <c r="AJ144" t="s">
        <v>47</v>
      </c>
      <c r="AK144" t="s">
        <v>43</v>
      </c>
      <c r="AL144" t="s">
        <v>44</v>
      </c>
      <c r="AM144" t="s">
        <v>45</v>
      </c>
      <c r="AN144" t="s">
        <v>41</v>
      </c>
    </row>
    <row r="145" spans="1:40" x14ac:dyDescent="0.25">
      <c r="A145">
        <v>2</v>
      </c>
      <c r="B145">
        <v>2835</v>
      </c>
      <c r="C145" t="s">
        <v>235</v>
      </c>
      <c r="D145">
        <v>2</v>
      </c>
      <c r="E145">
        <v>96358</v>
      </c>
      <c r="F145">
        <v>0</v>
      </c>
      <c r="G145">
        <v>1</v>
      </c>
      <c r="H145">
        <v>5</v>
      </c>
      <c r="I145">
        <v>50</v>
      </c>
      <c r="J145">
        <v>515</v>
      </c>
      <c r="K145">
        <v>4</v>
      </c>
      <c r="L145">
        <v>0</v>
      </c>
      <c r="M145">
        <v>237</v>
      </c>
      <c r="N145" t="s">
        <v>38</v>
      </c>
      <c r="O145">
        <v>6</v>
      </c>
      <c r="P145" s="1">
        <v>46134</v>
      </c>
      <c r="Q145" s="1">
        <v>46135</v>
      </c>
      <c r="R145" s="1">
        <v>46142</v>
      </c>
      <c r="S145">
        <v>757.7</v>
      </c>
      <c r="T145">
        <v>757.7</v>
      </c>
      <c r="U145">
        <v>757.7</v>
      </c>
      <c r="V145">
        <v>3612009329</v>
      </c>
      <c r="W145">
        <v>8</v>
      </c>
      <c r="X145" t="s">
        <v>23</v>
      </c>
      <c r="Y145" t="s">
        <v>39</v>
      </c>
      <c r="Z145">
        <v>0</v>
      </c>
      <c r="AA145">
        <v>75</v>
      </c>
      <c r="AB145">
        <v>6</v>
      </c>
      <c r="AC145" t="s">
        <v>40</v>
      </c>
      <c r="AD145">
        <v>6</v>
      </c>
      <c r="AE145" t="s">
        <v>41</v>
      </c>
      <c r="AF145" t="s">
        <v>41</v>
      </c>
      <c r="AG145" t="s">
        <v>23</v>
      </c>
      <c r="AH145" t="s">
        <v>42</v>
      </c>
      <c r="AI145" t="s">
        <v>46</v>
      </c>
      <c r="AJ145" t="s">
        <v>47</v>
      </c>
      <c r="AK145" t="s">
        <v>43</v>
      </c>
      <c r="AL145" t="s">
        <v>44</v>
      </c>
      <c r="AM145" t="s">
        <v>45</v>
      </c>
      <c r="AN145" t="s">
        <v>41</v>
      </c>
    </row>
    <row r="146" spans="1:40" x14ac:dyDescent="0.25">
      <c r="A146">
        <v>2</v>
      </c>
      <c r="B146">
        <v>3036</v>
      </c>
      <c r="C146" t="s">
        <v>236</v>
      </c>
      <c r="D146">
        <v>2</v>
      </c>
      <c r="E146">
        <v>96318</v>
      </c>
      <c r="F146">
        <v>0</v>
      </c>
      <c r="G146">
        <v>1</v>
      </c>
      <c r="H146">
        <v>1</v>
      </c>
      <c r="I146">
        <v>10</v>
      </c>
      <c r="J146">
        <v>103</v>
      </c>
      <c r="K146">
        <v>4</v>
      </c>
      <c r="L146">
        <v>0</v>
      </c>
      <c r="M146">
        <v>237</v>
      </c>
      <c r="N146" t="s">
        <v>38</v>
      </c>
      <c r="O146">
        <v>6</v>
      </c>
      <c r="P146" s="1">
        <v>46134</v>
      </c>
      <c r="Q146" s="1">
        <v>46135</v>
      </c>
      <c r="R146" s="1">
        <v>46142</v>
      </c>
      <c r="S146">
        <v>1720.4</v>
      </c>
      <c r="T146">
        <v>1720.4</v>
      </c>
      <c r="U146">
        <v>1720.4</v>
      </c>
      <c r="V146">
        <v>3612009324</v>
      </c>
      <c r="W146">
        <v>7</v>
      </c>
      <c r="X146" t="s">
        <v>23</v>
      </c>
      <c r="Y146" t="s">
        <v>39</v>
      </c>
      <c r="Z146">
        <v>0</v>
      </c>
      <c r="AA146">
        <v>75</v>
      </c>
      <c r="AB146">
        <v>4</v>
      </c>
      <c r="AC146" t="s">
        <v>40</v>
      </c>
      <c r="AD146">
        <v>4</v>
      </c>
      <c r="AE146" t="s">
        <v>41</v>
      </c>
      <c r="AF146" t="s">
        <v>41</v>
      </c>
      <c r="AG146" t="s">
        <v>23</v>
      </c>
      <c r="AH146" t="s">
        <v>42</v>
      </c>
      <c r="AI146" t="s">
        <v>46</v>
      </c>
      <c r="AJ146" t="s">
        <v>47</v>
      </c>
      <c r="AK146" t="s">
        <v>43</v>
      </c>
      <c r="AL146" t="s">
        <v>44</v>
      </c>
      <c r="AM146" t="s">
        <v>45</v>
      </c>
      <c r="AN146" t="s">
        <v>41</v>
      </c>
    </row>
    <row r="147" spans="1:40" x14ac:dyDescent="0.25">
      <c r="A147">
        <v>2</v>
      </c>
      <c r="B147">
        <v>3193</v>
      </c>
      <c r="C147" t="s">
        <v>140</v>
      </c>
      <c r="D147">
        <v>2</v>
      </c>
      <c r="E147">
        <v>96159</v>
      </c>
      <c r="F147">
        <v>0</v>
      </c>
      <c r="G147">
        <v>1</v>
      </c>
      <c r="H147">
        <v>5</v>
      </c>
      <c r="I147">
        <v>50</v>
      </c>
      <c r="J147">
        <v>512</v>
      </c>
      <c r="K147">
        <v>4</v>
      </c>
      <c r="L147">
        <v>0</v>
      </c>
      <c r="M147">
        <v>237</v>
      </c>
      <c r="N147" t="s">
        <v>38</v>
      </c>
      <c r="O147">
        <v>6</v>
      </c>
      <c r="P147" s="1">
        <v>46134</v>
      </c>
      <c r="Q147" s="1">
        <v>46135</v>
      </c>
      <c r="R147" s="1">
        <v>46142</v>
      </c>
      <c r="S147">
        <v>188.53</v>
      </c>
      <c r="T147">
        <v>188.53</v>
      </c>
      <c r="U147">
        <v>188.53</v>
      </c>
      <c r="V147">
        <v>3612009295</v>
      </c>
      <c r="W147" t="s">
        <v>80</v>
      </c>
      <c r="X147" t="s">
        <v>23</v>
      </c>
      <c r="Y147" t="s">
        <v>39</v>
      </c>
      <c r="Z147">
        <v>0</v>
      </c>
      <c r="AA147">
        <v>75</v>
      </c>
      <c r="AB147">
        <v>4</v>
      </c>
      <c r="AC147" t="s">
        <v>40</v>
      </c>
      <c r="AD147">
        <v>4</v>
      </c>
      <c r="AE147" t="s">
        <v>41</v>
      </c>
      <c r="AF147" t="s">
        <v>41</v>
      </c>
      <c r="AG147" t="s">
        <v>23</v>
      </c>
      <c r="AH147" t="s">
        <v>42</v>
      </c>
      <c r="AI147" t="s">
        <v>46</v>
      </c>
      <c r="AJ147" t="s">
        <v>47</v>
      </c>
      <c r="AK147" t="s">
        <v>43</v>
      </c>
      <c r="AL147" t="s">
        <v>44</v>
      </c>
      <c r="AM147" t="s">
        <v>45</v>
      </c>
      <c r="AN147" t="s">
        <v>41</v>
      </c>
    </row>
    <row r="148" spans="1:40" x14ac:dyDescent="0.25">
      <c r="A148">
        <v>2</v>
      </c>
      <c r="B148">
        <v>3300</v>
      </c>
      <c r="C148" t="s">
        <v>237</v>
      </c>
      <c r="D148">
        <v>2</v>
      </c>
      <c r="E148">
        <v>96263</v>
      </c>
      <c r="F148">
        <v>0</v>
      </c>
      <c r="G148">
        <v>1</v>
      </c>
      <c r="H148">
        <v>1</v>
      </c>
      <c r="I148">
        <v>10</v>
      </c>
      <c r="J148">
        <v>104</v>
      </c>
      <c r="K148">
        <v>4</v>
      </c>
      <c r="L148">
        <v>0</v>
      </c>
      <c r="M148">
        <v>237</v>
      </c>
      <c r="N148" t="s">
        <v>38</v>
      </c>
      <c r="O148">
        <v>6</v>
      </c>
      <c r="P148" s="1">
        <v>46134</v>
      </c>
      <c r="Q148" s="1">
        <v>46135</v>
      </c>
      <c r="R148" s="1">
        <v>46142</v>
      </c>
      <c r="S148">
        <v>155.97999999999999</v>
      </c>
      <c r="T148">
        <v>155.97999999999999</v>
      </c>
      <c r="U148">
        <v>155.97999999999999</v>
      </c>
      <c r="V148">
        <v>3612009319</v>
      </c>
      <c r="W148">
        <v>0</v>
      </c>
      <c r="X148" t="s">
        <v>23</v>
      </c>
      <c r="Y148" t="s">
        <v>39</v>
      </c>
      <c r="Z148">
        <v>0</v>
      </c>
      <c r="AA148">
        <v>75</v>
      </c>
      <c r="AB148">
        <v>5</v>
      </c>
      <c r="AC148" t="s">
        <v>40</v>
      </c>
      <c r="AD148">
        <v>5</v>
      </c>
      <c r="AE148" t="s">
        <v>41</v>
      </c>
      <c r="AF148" t="s">
        <v>41</v>
      </c>
      <c r="AG148" t="s">
        <v>23</v>
      </c>
      <c r="AH148" t="s">
        <v>42</v>
      </c>
      <c r="AI148" t="s">
        <v>46</v>
      </c>
      <c r="AJ148" t="s">
        <v>47</v>
      </c>
      <c r="AK148" t="s">
        <v>43</v>
      </c>
      <c r="AL148" t="s">
        <v>44</v>
      </c>
      <c r="AM148" t="s">
        <v>45</v>
      </c>
      <c r="AN148" t="s">
        <v>41</v>
      </c>
    </row>
    <row r="149" spans="1:40" x14ac:dyDescent="0.25">
      <c r="A149">
        <v>2</v>
      </c>
      <c r="B149">
        <v>3304</v>
      </c>
      <c r="C149" t="s">
        <v>238</v>
      </c>
      <c r="D149">
        <v>2</v>
      </c>
      <c r="E149">
        <v>96185</v>
      </c>
      <c r="F149">
        <v>0</v>
      </c>
      <c r="G149">
        <v>1</v>
      </c>
      <c r="H149">
        <v>5</v>
      </c>
      <c r="I149">
        <v>50</v>
      </c>
      <c r="J149">
        <v>511</v>
      </c>
      <c r="K149">
        <v>4</v>
      </c>
      <c r="L149">
        <v>0</v>
      </c>
      <c r="M149">
        <v>237</v>
      </c>
      <c r="N149" t="s">
        <v>38</v>
      </c>
      <c r="O149">
        <v>6</v>
      </c>
      <c r="P149" s="1">
        <v>46134</v>
      </c>
      <c r="Q149" s="1">
        <v>46135</v>
      </c>
      <c r="R149" s="1">
        <v>46142</v>
      </c>
      <c r="S149">
        <v>166.62</v>
      </c>
      <c r="T149">
        <v>166.62</v>
      </c>
      <c r="U149">
        <v>166.62</v>
      </c>
      <c r="V149">
        <v>3612009303</v>
      </c>
      <c r="W149">
        <v>4</v>
      </c>
      <c r="X149" t="s">
        <v>23</v>
      </c>
      <c r="Y149" t="s">
        <v>39</v>
      </c>
      <c r="Z149">
        <v>0</v>
      </c>
      <c r="AA149">
        <v>73</v>
      </c>
      <c r="AB149">
        <v>5</v>
      </c>
      <c r="AC149" t="s">
        <v>40</v>
      </c>
      <c r="AD149">
        <v>5</v>
      </c>
      <c r="AE149" t="s">
        <v>41</v>
      </c>
      <c r="AF149" t="s">
        <v>41</v>
      </c>
      <c r="AG149" t="s">
        <v>23</v>
      </c>
      <c r="AH149" t="s">
        <v>42</v>
      </c>
      <c r="AI149" t="s">
        <v>46</v>
      </c>
      <c r="AJ149" t="s">
        <v>47</v>
      </c>
      <c r="AK149" t="s">
        <v>43</v>
      </c>
      <c r="AL149" t="s">
        <v>44</v>
      </c>
      <c r="AM149" t="s">
        <v>45</v>
      </c>
      <c r="AN149" t="s">
        <v>41</v>
      </c>
    </row>
    <row r="150" spans="1:40" x14ac:dyDescent="0.25">
      <c r="A150">
        <v>2</v>
      </c>
      <c r="B150">
        <v>3355</v>
      </c>
      <c r="C150" t="s">
        <v>133</v>
      </c>
      <c r="D150">
        <v>2</v>
      </c>
      <c r="E150">
        <v>96303</v>
      </c>
      <c r="F150">
        <v>0</v>
      </c>
      <c r="G150">
        <v>1</v>
      </c>
      <c r="H150">
        <v>1</v>
      </c>
      <c r="I150">
        <v>10</v>
      </c>
      <c r="J150">
        <v>102</v>
      </c>
      <c r="K150">
        <v>4</v>
      </c>
      <c r="L150">
        <v>0</v>
      </c>
      <c r="M150">
        <v>237</v>
      </c>
      <c r="N150" t="s">
        <v>38</v>
      </c>
      <c r="O150">
        <v>6</v>
      </c>
      <c r="P150" s="1">
        <v>46134</v>
      </c>
      <c r="Q150" s="1">
        <v>46135</v>
      </c>
      <c r="R150" s="1">
        <v>46142</v>
      </c>
      <c r="S150">
        <v>715.38</v>
      </c>
      <c r="T150">
        <v>715.38</v>
      </c>
      <c r="U150">
        <v>715.38</v>
      </c>
      <c r="V150">
        <v>3612009323</v>
      </c>
      <c r="W150">
        <v>9</v>
      </c>
      <c r="X150" t="s">
        <v>23</v>
      </c>
      <c r="Y150" t="s">
        <v>39</v>
      </c>
      <c r="Z150">
        <v>0</v>
      </c>
      <c r="AA150">
        <v>75</v>
      </c>
      <c r="AB150">
        <v>4</v>
      </c>
      <c r="AC150" t="s">
        <v>40</v>
      </c>
      <c r="AD150">
        <v>4</v>
      </c>
      <c r="AE150" t="s">
        <v>41</v>
      </c>
      <c r="AF150" t="s">
        <v>41</v>
      </c>
      <c r="AG150" t="s">
        <v>23</v>
      </c>
      <c r="AH150" t="s">
        <v>42</v>
      </c>
      <c r="AI150" t="s">
        <v>46</v>
      </c>
      <c r="AJ150" t="s">
        <v>47</v>
      </c>
      <c r="AK150" t="s">
        <v>43</v>
      </c>
      <c r="AL150" t="s">
        <v>44</v>
      </c>
      <c r="AM150" t="s">
        <v>45</v>
      </c>
      <c r="AN150" t="s">
        <v>41</v>
      </c>
    </row>
    <row r="151" spans="1:40" x14ac:dyDescent="0.25">
      <c r="A151">
        <v>2</v>
      </c>
      <c r="B151">
        <v>3384</v>
      </c>
      <c r="C151" t="s">
        <v>141</v>
      </c>
      <c r="D151">
        <v>2</v>
      </c>
      <c r="E151">
        <v>96166</v>
      </c>
      <c r="F151">
        <v>0</v>
      </c>
      <c r="G151">
        <v>1</v>
      </c>
      <c r="H151">
        <v>5</v>
      </c>
      <c r="I151">
        <v>50</v>
      </c>
      <c r="J151">
        <v>512</v>
      </c>
      <c r="K151">
        <v>4</v>
      </c>
      <c r="L151">
        <v>0</v>
      </c>
      <c r="M151">
        <v>237</v>
      </c>
      <c r="N151" t="s">
        <v>38</v>
      </c>
      <c r="O151">
        <v>6</v>
      </c>
      <c r="P151" s="1">
        <v>46134</v>
      </c>
      <c r="Q151" s="1">
        <v>46135</v>
      </c>
      <c r="R151" s="1">
        <v>46142</v>
      </c>
      <c r="S151">
        <v>442.52</v>
      </c>
      <c r="T151">
        <v>442.52</v>
      </c>
      <c r="U151">
        <v>442.52</v>
      </c>
      <c r="V151">
        <v>3612009299</v>
      </c>
      <c r="W151">
        <v>2</v>
      </c>
      <c r="X151" t="s">
        <v>23</v>
      </c>
      <c r="Y151" t="s">
        <v>39</v>
      </c>
      <c r="Z151">
        <v>0</v>
      </c>
      <c r="AA151">
        <v>75</v>
      </c>
      <c r="AB151">
        <v>4</v>
      </c>
      <c r="AC151" t="s">
        <v>40</v>
      </c>
      <c r="AD151">
        <v>4</v>
      </c>
      <c r="AE151" t="s">
        <v>41</v>
      </c>
      <c r="AF151" t="s">
        <v>41</v>
      </c>
      <c r="AG151" t="s">
        <v>23</v>
      </c>
      <c r="AH151" t="s">
        <v>42</v>
      </c>
      <c r="AI151" t="s">
        <v>46</v>
      </c>
      <c r="AJ151" t="s">
        <v>47</v>
      </c>
      <c r="AK151" t="s">
        <v>43</v>
      </c>
      <c r="AL151" t="s">
        <v>44</v>
      </c>
      <c r="AM151" t="s">
        <v>45</v>
      </c>
      <c r="AN151" t="s">
        <v>41</v>
      </c>
    </row>
    <row r="152" spans="1:40" x14ac:dyDescent="0.25">
      <c r="A152">
        <v>2</v>
      </c>
      <c r="B152">
        <v>3501</v>
      </c>
      <c r="C152" t="s">
        <v>239</v>
      </c>
      <c r="D152">
        <v>2</v>
      </c>
      <c r="E152">
        <v>96172</v>
      </c>
      <c r="F152">
        <v>0</v>
      </c>
      <c r="G152">
        <v>1</v>
      </c>
      <c r="H152">
        <v>5</v>
      </c>
      <c r="I152">
        <v>50</v>
      </c>
      <c r="J152">
        <v>512</v>
      </c>
      <c r="K152">
        <v>4</v>
      </c>
      <c r="L152">
        <v>0</v>
      </c>
      <c r="M152">
        <v>237</v>
      </c>
      <c r="N152" t="s">
        <v>38</v>
      </c>
      <c r="O152">
        <v>6</v>
      </c>
      <c r="P152" s="1">
        <v>46134</v>
      </c>
      <c r="Q152" s="1">
        <v>46135</v>
      </c>
      <c r="R152" s="1">
        <v>46142</v>
      </c>
      <c r="S152">
        <v>151.34</v>
      </c>
      <c r="T152">
        <v>151.34</v>
      </c>
      <c r="U152">
        <v>151.34</v>
      </c>
      <c r="V152">
        <v>3612009301</v>
      </c>
      <c r="W152">
        <v>8</v>
      </c>
      <c r="X152" t="s">
        <v>23</v>
      </c>
      <c r="Y152" t="s">
        <v>39</v>
      </c>
      <c r="Z152">
        <v>0</v>
      </c>
      <c r="AA152">
        <v>73</v>
      </c>
      <c r="AB152">
        <v>4</v>
      </c>
      <c r="AC152" t="s">
        <v>40</v>
      </c>
      <c r="AD152">
        <v>4</v>
      </c>
      <c r="AE152" t="s">
        <v>41</v>
      </c>
      <c r="AF152" t="s">
        <v>41</v>
      </c>
      <c r="AG152" t="s">
        <v>23</v>
      </c>
      <c r="AH152" t="s">
        <v>42</v>
      </c>
      <c r="AI152" t="s">
        <v>46</v>
      </c>
      <c r="AJ152" t="s">
        <v>47</v>
      </c>
      <c r="AK152" t="s">
        <v>43</v>
      </c>
      <c r="AL152" t="s">
        <v>44</v>
      </c>
      <c r="AM152" t="s">
        <v>45</v>
      </c>
      <c r="AN152" t="s">
        <v>41</v>
      </c>
    </row>
    <row r="153" spans="1:40" x14ac:dyDescent="0.25">
      <c r="A153">
        <v>2</v>
      </c>
      <c r="B153">
        <v>3573</v>
      </c>
      <c r="C153" t="s">
        <v>240</v>
      </c>
      <c r="D153">
        <v>2</v>
      </c>
      <c r="E153">
        <v>96183</v>
      </c>
      <c r="F153">
        <v>0</v>
      </c>
      <c r="G153">
        <v>1</v>
      </c>
      <c r="H153">
        <v>5</v>
      </c>
      <c r="I153">
        <v>50</v>
      </c>
      <c r="J153">
        <v>513</v>
      </c>
      <c r="K153">
        <v>4</v>
      </c>
      <c r="L153">
        <v>0</v>
      </c>
      <c r="M153">
        <v>237</v>
      </c>
      <c r="N153" t="s">
        <v>38</v>
      </c>
      <c r="O153">
        <v>6</v>
      </c>
      <c r="P153" s="1">
        <v>46134</v>
      </c>
      <c r="Q153" s="1">
        <v>46135</v>
      </c>
      <c r="R153" s="1">
        <v>46142</v>
      </c>
      <c r="S153">
        <v>933.15</v>
      </c>
      <c r="T153">
        <v>933.15</v>
      </c>
      <c r="U153">
        <v>933.15</v>
      </c>
      <c r="V153">
        <v>3612009302</v>
      </c>
      <c r="W153">
        <v>6</v>
      </c>
      <c r="X153" t="s">
        <v>23</v>
      </c>
      <c r="Y153" t="s">
        <v>39</v>
      </c>
      <c r="Z153">
        <v>0</v>
      </c>
      <c r="AA153">
        <v>75</v>
      </c>
      <c r="AB153">
        <v>4</v>
      </c>
      <c r="AC153" t="s">
        <v>40</v>
      </c>
      <c r="AD153">
        <v>4</v>
      </c>
      <c r="AE153" t="s">
        <v>41</v>
      </c>
      <c r="AF153" t="s">
        <v>41</v>
      </c>
      <c r="AG153" t="s">
        <v>23</v>
      </c>
      <c r="AH153" t="s">
        <v>42</v>
      </c>
      <c r="AI153" t="s">
        <v>46</v>
      </c>
      <c r="AJ153" t="s">
        <v>47</v>
      </c>
      <c r="AK153" t="s">
        <v>43</v>
      </c>
      <c r="AL153" t="s">
        <v>44</v>
      </c>
      <c r="AM153" t="s">
        <v>45</v>
      </c>
      <c r="AN153" t="s">
        <v>41</v>
      </c>
    </row>
    <row r="154" spans="1:40" x14ac:dyDescent="0.25">
      <c r="A154">
        <v>2</v>
      </c>
      <c r="B154">
        <v>3590</v>
      </c>
      <c r="C154" t="s">
        <v>183</v>
      </c>
      <c r="D154">
        <v>2</v>
      </c>
      <c r="E154">
        <v>96261</v>
      </c>
      <c r="F154">
        <v>0</v>
      </c>
      <c r="G154">
        <v>1</v>
      </c>
      <c r="H154">
        <v>1</v>
      </c>
      <c r="I154">
        <v>10</v>
      </c>
      <c r="J154">
        <v>104</v>
      </c>
      <c r="K154">
        <v>4</v>
      </c>
      <c r="L154">
        <v>0</v>
      </c>
      <c r="M154">
        <v>237</v>
      </c>
      <c r="N154" t="s">
        <v>38</v>
      </c>
      <c r="O154">
        <v>6</v>
      </c>
      <c r="P154" s="1">
        <v>46134</v>
      </c>
      <c r="Q154" s="1">
        <v>46135</v>
      </c>
      <c r="R154" s="1">
        <v>46142</v>
      </c>
      <c r="S154">
        <v>437.72</v>
      </c>
      <c r="T154">
        <v>437.72</v>
      </c>
      <c r="U154">
        <v>437.72</v>
      </c>
      <c r="V154">
        <v>3612009317</v>
      </c>
      <c r="W154">
        <v>4</v>
      </c>
      <c r="X154" t="s">
        <v>23</v>
      </c>
      <c r="Y154" t="s">
        <v>39</v>
      </c>
      <c r="Z154">
        <v>0</v>
      </c>
      <c r="AA154">
        <v>75</v>
      </c>
      <c r="AB154">
        <v>4</v>
      </c>
      <c r="AC154" t="s">
        <v>40</v>
      </c>
      <c r="AD154">
        <v>4</v>
      </c>
      <c r="AE154" t="s">
        <v>41</v>
      </c>
      <c r="AF154" t="s">
        <v>41</v>
      </c>
      <c r="AG154" t="s">
        <v>23</v>
      </c>
      <c r="AH154" t="s">
        <v>42</v>
      </c>
      <c r="AI154" t="s">
        <v>46</v>
      </c>
      <c r="AJ154" t="s">
        <v>47</v>
      </c>
      <c r="AK154" t="s">
        <v>43</v>
      </c>
      <c r="AL154" t="s">
        <v>44</v>
      </c>
      <c r="AM154" t="s">
        <v>45</v>
      </c>
      <c r="AN154" t="s">
        <v>41</v>
      </c>
    </row>
    <row r="155" spans="1:40" x14ac:dyDescent="0.25">
      <c r="A155">
        <v>2</v>
      </c>
      <c r="B155">
        <v>3823</v>
      </c>
      <c r="C155" t="s">
        <v>173</v>
      </c>
      <c r="D155">
        <v>2</v>
      </c>
      <c r="E155">
        <v>96191</v>
      </c>
      <c r="F155">
        <v>0</v>
      </c>
      <c r="G155">
        <v>1</v>
      </c>
      <c r="H155">
        <v>5</v>
      </c>
      <c r="I155">
        <v>50</v>
      </c>
      <c r="J155">
        <v>511</v>
      </c>
      <c r="K155">
        <v>4</v>
      </c>
      <c r="L155">
        <v>0</v>
      </c>
      <c r="M155">
        <v>237</v>
      </c>
      <c r="N155" t="s">
        <v>38</v>
      </c>
      <c r="O155">
        <v>6</v>
      </c>
      <c r="P155" s="1">
        <v>46134</v>
      </c>
      <c r="Q155" s="1">
        <v>46135</v>
      </c>
      <c r="R155" s="1">
        <v>46142</v>
      </c>
      <c r="S155">
        <v>1000.21</v>
      </c>
      <c r="T155">
        <v>1000.21</v>
      </c>
      <c r="U155">
        <v>1000.21</v>
      </c>
      <c r="V155">
        <v>3612009305</v>
      </c>
      <c r="W155">
        <v>0</v>
      </c>
      <c r="X155" t="s">
        <v>23</v>
      </c>
      <c r="Y155" t="s">
        <v>39</v>
      </c>
      <c r="Z155">
        <v>0</v>
      </c>
      <c r="AA155">
        <v>72</v>
      </c>
      <c r="AB155">
        <v>3</v>
      </c>
      <c r="AC155" t="s">
        <v>40</v>
      </c>
      <c r="AD155">
        <v>3</v>
      </c>
      <c r="AE155" t="s">
        <v>41</v>
      </c>
      <c r="AF155" t="s">
        <v>41</v>
      </c>
      <c r="AG155" t="s">
        <v>23</v>
      </c>
      <c r="AH155" t="s">
        <v>42</v>
      </c>
      <c r="AI155" t="s">
        <v>46</v>
      </c>
      <c r="AJ155" t="s">
        <v>47</v>
      </c>
      <c r="AK155" t="s">
        <v>43</v>
      </c>
      <c r="AL155" t="s">
        <v>44</v>
      </c>
      <c r="AM155" t="s">
        <v>45</v>
      </c>
      <c r="AN155" t="s">
        <v>41</v>
      </c>
    </row>
    <row r="156" spans="1:40" x14ac:dyDescent="0.25">
      <c r="A156">
        <v>2</v>
      </c>
      <c r="B156">
        <v>3823</v>
      </c>
      <c r="C156" t="s">
        <v>173</v>
      </c>
      <c r="D156">
        <v>2</v>
      </c>
      <c r="E156">
        <v>96192</v>
      </c>
      <c r="F156">
        <v>0</v>
      </c>
      <c r="G156">
        <v>1</v>
      </c>
      <c r="H156">
        <v>5</v>
      </c>
      <c r="I156">
        <v>50</v>
      </c>
      <c r="J156">
        <v>511</v>
      </c>
      <c r="K156">
        <v>4</v>
      </c>
      <c r="L156">
        <v>0</v>
      </c>
      <c r="M156">
        <v>237</v>
      </c>
      <c r="N156" t="s">
        <v>38</v>
      </c>
      <c r="O156">
        <v>6</v>
      </c>
      <c r="P156" s="1">
        <v>46134</v>
      </c>
      <c r="Q156" s="1">
        <v>46135</v>
      </c>
      <c r="R156" s="1">
        <v>46142</v>
      </c>
      <c r="S156">
        <v>34.340000000000003</v>
      </c>
      <c r="T156">
        <v>34.340000000000003</v>
      </c>
      <c r="U156">
        <v>34.340000000000003</v>
      </c>
      <c r="V156">
        <v>3612009306</v>
      </c>
      <c r="W156">
        <v>9</v>
      </c>
      <c r="X156" t="s">
        <v>23</v>
      </c>
      <c r="Y156" t="s">
        <v>39</v>
      </c>
      <c r="Z156">
        <v>0</v>
      </c>
      <c r="AA156">
        <v>72</v>
      </c>
      <c r="AB156">
        <v>3</v>
      </c>
      <c r="AC156" t="s">
        <v>40</v>
      </c>
      <c r="AD156">
        <v>3</v>
      </c>
      <c r="AE156" t="s">
        <v>41</v>
      </c>
      <c r="AF156" t="s">
        <v>41</v>
      </c>
      <c r="AG156" t="s">
        <v>23</v>
      </c>
      <c r="AH156" t="s">
        <v>42</v>
      </c>
      <c r="AI156" t="s">
        <v>46</v>
      </c>
      <c r="AJ156" t="s">
        <v>47</v>
      </c>
      <c r="AK156" t="s">
        <v>43</v>
      </c>
      <c r="AL156" t="s">
        <v>44</v>
      </c>
      <c r="AM156" t="s">
        <v>45</v>
      </c>
      <c r="AN156" t="s">
        <v>41</v>
      </c>
    </row>
    <row r="157" spans="1:40" x14ac:dyDescent="0.25">
      <c r="A157">
        <v>2</v>
      </c>
      <c r="B157">
        <v>3865</v>
      </c>
      <c r="C157" t="s">
        <v>241</v>
      </c>
      <c r="D157">
        <v>2</v>
      </c>
      <c r="E157">
        <v>96186</v>
      </c>
      <c r="F157">
        <v>0</v>
      </c>
      <c r="G157">
        <v>1</v>
      </c>
      <c r="H157">
        <v>5</v>
      </c>
      <c r="I157">
        <v>50</v>
      </c>
      <c r="J157">
        <v>511</v>
      </c>
      <c r="K157">
        <v>4</v>
      </c>
      <c r="L157">
        <v>0</v>
      </c>
      <c r="M157">
        <v>237</v>
      </c>
      <c r="N157" t="s">
        <v>38</v>
      </c>
      <c r="O157">
        <v>6</v>
      </c>
      <c r="P157" s="1">
        <v>46134</v>
      </c>
      <c r="Q157" s="1">
        <v>46135</v>
      </c>
      <c r="R157" s="1">
        <v>46142</v>
      </c>
      <c r="S157">
        <v>952.25</v>
      </c>
      <c r="T157">
        <v>952.25</v>
      </c>
      <c r="U157">
        <v>952.25</v>
      </c>
      <c r="V157">
        <v>3612009304</v>
      </c>
      <c r="W157">
        <v>2</v>
      </c>
      <c r="X157" t="s">
        <v>23</v>
      </c>
      <c r="Y157" t="s">
        <v>39</v>
      </c>
      <c r="Z157">
        <v>0</v>
      </c>
      <c r="AA157">
        <v>73</v>
      </c>
      <c r="AB157">
        <v>4</v>
      </c>
      <c r="AC157" t="s">
        <v>40</v>
      </c>
      <c r="AD157">
        <v>4</v>
      </c>
      <c r="AE157" t="s">
        <v>41</v>
      </c>
      <c r="AF157" t="s">
        <v>41</v>
      </c>
      <c r="AG157" t="s">
        <v>23</v>
      </c>
      <c r="AH157" t="s">
        <v>42</v>
      </c>
      <c r="AI157" t="s">
        <v>46</v>
      </c>
      <c r="AJ157" t="s">
        <v>47</v>
      </c>
      <c r="AK157" t="s">
        <v>43</v>
      </c>
      <c r="AL157" t="s">
        <v>44</v>
      </c>
      <c r="AM157" t="s">
        <v>45</v>
      </c>
      <c r="AN157" t="s">
        <v>41</v>
      </c>
    </row>
    <row r="158" spans="1:40" x14ac:dyDescent="0.25">
      <c r="A158">
        <v>2</v>
      </c>
      <c r="B158">
        <v>3987</v>
      </c>
      <c r="C158" t="s">
        <v>87</v>
      </c>
      <c r="D158">
        <v>2</v>
      </c>
      <c r="E158">
        <v>96259</v>
      </c>
      <c r="F158">
        <v>0</v>
      </c>
      <c r="G158">
        <v>1</v>
      </c>
      <c r="H158">
        <v>1</v>
      </c>
      <c r="I158">
        <v>10</v>
      </c>
      <c r="J158">
        <v>104</v>
      </c>
      <c r="K158">
        <v>4</v>
      </c>
      <c r="L158">
        <v>0</v>
      </c>
      <c r="M158">
        <v>237</v>
      </c>
      <c r="N158" t="s">
        <v>38</v>
      </c>
      <c r="O158">
        <v>6</v>
      </c>
      <c r="P158" s="1">
        <v>46134</v>
      </c>
      <c r="Q158" s="1">
        <v>46135</v>
      </c>
      <c r="R158" s="1">
        <v>46142</v>
      </c>
      <c r="S158">
        <v>172.97</v>
      </c>
      <c r="T158">
        <v>172.97</v>
      </c>
      <c r="U158">
        <v>172.97</v>
      </c>
      <c r="V158">
        <v>3612009316</v>
      </c>
      <c r="W158">
        <v>6</v>
      </c>
      <c r="X158" t="s">
        <v>23</v>
      </c>
      <c r="Y158" t="s">
        <v>39</v>
      </c>
      <c r="Z158">
        <v>0</v>
      </c>
      <c r="AA158">
        <v>75</v>
      </c>
      <c r="AB158">
        <v>4</v>
      </c>
      <c r="AC158" t="s">
        <v>40</v>
      </c>
      <c r="AD158">
        <v>4</v>
      </c>
      <c r="AE158" t="s">
        <v>41</v>
      </c>
      <c r="AF158" t="s">
        <v>41</v>
      </c>
      <c r="AG158" t="s">
        <v>23</v>
      </c>
      <c r="AH158" t="s">
        <v>42</v>
      </c>
      <c r="AI158" t="s">
        <v>46</v>
      </c>
      <c r="AJ158" t="s">
        <v>47</v>
      </c>
      <c r="AK158" t="s">
        <v>43</v>
      </c>
      <c r="AL158" t="s">
        <v>44</v>
      </c>
      <c r="AM158" t="s">
        <v>45</v>
      </c>
      <c r="AN158" t="s">
        <v>41</v>
      </c>
    </row>
    <row r="159" spans="1:40" x14ac:dyDescent="0.25">
      <c r="A159">
        <v>2</v>
      </c>
      <c r="B159">
        <v>891</v>
      </c>
      <c r="C159" t="s">
        <v>136</v>
      </c>
      <c r="D159">
        <v>2</v>
      </c>
      <c r="E159">
        <v>95263</v>
      </c>
      <c r="F159">
        <v>0</v>
      </c>
      <c r="G159">
        <v>1</v>
      </c>
      <c r="H159">
        <v>5</v>
      </c>
      <c r="I159">
        <v>50</v>
      </c>
      <c r="J159">
        <v>515</v>
      </c>
      <c r="K159">
        <v>4</v>
      </c>
      <c r="L159">
        <v>0</v>
      </c>
      <c r="M159">
        <v>237</v>
      </c>
      <c r="N159" t="s">
        <v>38</v>
      </c>
      <c r="O159">
        <v>14</v>
      </c>
      <c r="P159" s="1">
        <v>46128</v>
      </c>
      <c r="Q159" s="1">
        <v>46129</v>
      </c>
      <c r="R159" s="1">
        <v>46150</v>
      </c>
      <c r="S159">
        <v>7090</v>
      </c>
      <c r="T159">
        <v>7090</v>
      </c>
      <c r="U159">
        <v>7090</v>
      </c>
      <c r="V159">
        <v>3612009161</v>
      </c>
      <c r="W159">
        <v>9</v>
      </c>
      <c r="X159" t="s">
        <v>23</v>
      </c>
      <c r="Y159" t="s">
        <v>39</v>
      </c>
      <c r="Z159">
        <v>0</v>
      </c>
      <c r="AA159">
        <v>75</v>
      </c>
      <c r="AB159">
        <v>4</v>
      </c>
      <c r="AC159" t="s">
        <v>40</v>
      </c>
      <c r="AD159">
        <v>4</v>
      </c>
      <c r="AE159" t="s">
        <v>41</v>
      </c>
      <c r="AF159" t="s">
        <v>41</v>
      </c>
      <c r="AG159" t="s">
        <v>23</v>
      </c>
      <c r="AH159" t="s">
        <v>42</v>
      </c>
      <c r="AI159" t="s">
        <v>46</v>
      </c>
      <c r="AJ159" t="s">
        <v>47</v>
      </c>
      <c r="AK159" t="s">
        <v>43</v>
      </c>
      <c r="AL159" t="s">
        <v>44</v>
      </c>
      <c r="AM159" t="s">
        <v>45</v>
      </c>
      <c r="AN159" t="s">
        <v>41</v>
      </c>
    </row>
    <row r="160" spans="1:40" x14ac:dyDescent="0.25">
      <c r="P160" s="1"/>
      <c r="Q160" s="1"/>
      <c r="R160" s="1"/>
      <c r="S160"/>
    </row>
    <row r="161" spans="16:19" x14ac:dyDescent="0.25">
      <c r="P161" s="1"/>
      <c r="Q161" s="1"/>
      <c r="R161" s="1"/>
      <c r="S161"/>
    </row>
    <row r="162" spans="16:19" x14ac:dyDescent="0.25">
      <c r="P162" s="1"/>
      <c r="Q162" s="1"/>
      <c r="R162" s="1"/>
      <c r="S162"/>
    </row>
    <row r="163" spans="16:19" x14ac:dyDescent="0.25">
      <c r="P163" s="1"/>
      <c r="Q163" s="1"/>
      <c r="R163" s="1"/>
      <c r="S163"/>
    </row>
    <row r="164" spans="16:19" x14ac:dyDescent="0.25">
      <c r="P164" s="1"/>
      <c r="Q164" s="1"/>
      <c r="R164" s="1"/>
      <c r="S164"/>
    </row>
    <row r="165" spans="16:19" x14ac:dyDescent="0.25">
      <c r="P165" s="1"/>
      <c r="Q165" s="1"/>
      <c r="R165" s="1"/>
      <c r="S165"/>
    </row>
    <row r="166" spans="16:19" x14ac:dyDescent="0.25">
      <c r="P166" s="1"/>
      <c r="Q166" s="1"/>
      <c r="R166" s="1"/>
      <c r="S166"/>
    </row>
    <row r="167" spans="16:19" x14ac:dyDescent="0.25">
      <c r="P167" s="1"/>
      <c r="Q167" s="1"/>
      <c r="R167" s="1"/>
      <c r="S167"/>
    </row>
    <row r="168" spans="16:19" x14ac:dyDescent="0.25">
      <c r="P168" s="1"/>
      <c r="Q168" s="1"/>
      <c r="R168" s="1"/>
      <c r="S168"/>
    </row>
    <row r="169" spans="16:19" x14ac:dyDescent="0.25">
      <c r="P169" s="1"/>
      <c r="Q169" s="1"/>
      <c r="R169" s="1"/>
      <c r="S169"/>
    </row>
    <row r="170" spans="16:19" x14ac:dyDescent="0.25">
      <c r="P170" s="1"/>
      <c r="Q170" s="1"/>
      <c r="R170" s="1"/>
      <c r="S170"/>
    </row>
    <row r="171" spans="16:19" x14ac:dyDescent="0.25">
      <c r="P171" s="1"/>
      <c r="Q171" s="1"/>
      <c r="R171" s="1"/>
      <c r="S171"/>
    </row>
    <row r="172" spans="16:19" x14ac:dyDescent="0.25">
      <c r="P172" s="1"/>
      <c r="Q172" s="1"/>
      <c r="R172" s="1"/>
      <c r="S172"/>
    </row>
    <row r="173" spans="16:19" x14ac:dyDescent="0.25">
      <c r="P173" s="1"/>
      <c r="Q173" s="1"/>
      <c r="R173" s="1"/>
      <c r="S173"/>
    </row>
    <row r="174" spans="16:19" x14ac:dyDescent="0.25">
      <c r="P174" s="1"/>
      <c r="Q174" s="1"/>
      <c r="R174" s="1"/>
      <c r="S174"/>
    </row>
    <row r="175" spans="16:19" x14ac:dyDescent="0.25">
      <c r="P175" s="1"/>
      <c r="Q175" s="1"/>
      <c r="R175" s="1"/>
      <c r="S175"/>
    </row>
    <row r="176" spans="16:19" x14ac:dyDescent="0.25">
      <c r="P176" s="1"/>
      <c r="Q176" s="1"/>
      <c r="R176" s="1"/>
      <c r="S176"/>
    </row>
    <row r="177" spans="16:19" x14ac:dyDescent="0.25">
      <c r="P177" s="1"/>
      <c r="Q177" s="1"/>
      <c r="R177" s="1"/>
      <c r="S177"/>
    </row>
    <row r="178" spans="16:19" x14ac:dyDescent="0.25">
      <c r="P178" s="1"/>
      <c r="Q178" s="1"/>
      <c r="R178" s="1"/>
      <c r="S178"/>
    </row>
    <row r="179" spans="16:19" x14ac:dyDescent="0.25">
      <c r="P179" s="1"/>
      <c r="Q179" s="1"/>
      <c r="R179" s="1"/>
      <c r="S179"/>
    </row>
    <row r="180" spans="16:19" x14ac:dyDescent="0.25">
      <c r="P180" s="1"/>
      <c r="Q180" s="1"/>
      <c r="R180" s="1"/>
      <c r="S180"/>
    </row>
    <row r="181" spans="16:19" x14ac:dyDescent="0.25">
      <c r="P181" s="1"/>
      <c r="Q181" s="1"/>
      <c r="R181" s="1"/>
      <c r="S181"/>
    </row>
    <row r="182" spans="16:19" x14ac:dyDescent="0.25">
      <c r="P182" s="1"/>
      <c r="Q182" s="1"/>
      <c r="R182" s="1"/>
      <c r="S182"/>
    </row>
    <row r="183" spans="16:19" x14ac:dyDescent="0.25">
      <c r="P183" s="1"/>
      <c r="Q183" s="1"/>
      <c r="R183" s="1"/>
      <c r="S183"/>
    </row>
    <row r="184" spans="16:19" x14ac:dyDescent="0.25">
      <c r="P184" s="1"/>
      <c r="Q184" s="1"/>
      <c r="R184" s="1"/>
      <c r="S184"/>
    </row>
    <row r="185" spans="16:19" x14ac:dyDescent="0.25">
      <c r="P185" s="1"/>
      <c r="Q185" s="1"/>
      <c r="R185" s="1"/>
      <c r="S185"/>
    </row>
    <row r="186" spans="16:19" x14ac:dyDescent="0.25">
      <c r="P186" s="1"/>
      <c r="Q186" s="1"/>
      <c r="R186" s="1"/>
      <c r="S186"/>
    </row>
    <row r="187" spans="16:19" x14ac:dyDescent="0.25">
      <c r="P187" s="1"/>
      <c r="Q187" s="1"/>
      <c r="R187" s="1"/>
      <c r="S187"/>
    </row>
    <row r="188" spans="16:19" x14ac:dyDescent="0.25">
      <c r="P188" s="1"/>
      <c r="Q188" s="1"/>
      <c r="R188" s="1"/>
      <c r="S188"/>
    </row>
    <row r="189" spans="16:19" x14ac:dyDescent="0.25">
      <c r="P189" s="1"/>
      <c r="Q189" s="1"/>
      <c r="R189" s="1"/>
      <c r="S189"/>
    </row>
    <row r="190" spans="16:19" x14ac:dyDescent="0.25">
      <c r="P190" s="1"/>
      <c r="Q190" s="1"/>
      <c r="R190" s="1"/>
      <c r="S190"/>
    </row>
    <row r="191" spans="16:19" x14ac:dyDescent="0.25">
      <c r="P191" s="1"/>
      <c r="Q191" s="1"/>
      <c r="R191" s="1"/>
      <c r="S191"/>
    </row>
    <row r="192" spans="16:19" x14ac:dyDescent="0.25">
      <c r="P192" s="1"/>
      <c r="Q192" s="1"/>
      <c r="R192" s="1"/>
      <c r="S192"/>
    </row>
    <row r="193" spans="16:19" x14ac:dyDescent="0.25">
      <c r="P193" s="1"/>
      <c r="Q193" s="1"/>
      <c r="R193" s="1"/>
      <c r="S193"/>
    </row>
    <row r="194" spans="16:19" x14ac:dyDescent="0.25">
      <c r="P194" s="1"/>
      <c r="Q194" s="1"/>
      <c r="R194" s="1"/>
      <c r="S194"/>
    </row>
    <row r="195" spans="16:19" x14ac:dyDescent="0.25">
      <c r="P195" s="1"/>
      <c r="Q195" s="1"/>
      <c r="R195" s="1"/>
      <c r="S195"/>
    </row>
    <row r="196" spans="16:19" x14ac:dyDescent="0.25">
      <c r="P196" s="1"/>
      <c r="Q196" s="1"/>
      <c r="R196" s="1"/>
      <c r="S196"/>
    </row>
    <row r="197" spans="16:19" x14ac:dyDescent="0.25">
      <c r="P197" s="1"/>
      <c r="Q197" s="1"/>
      <c r="R197" s="1"/>
      <c r="S197"/>
    </row>
    <row r="198" spans="16:19" x14ac:dyDescent="0.25">
      <c r="P198" s="1"/>
      <c r="Q198" s="1"/>
      <c r="R198" s="1"/>
      <c r="S198"/>
    </row>
    <row r="199" spans="16:19" x14ac:dyDescent="0.25">
      <c r="P199" s="1"/>
      <c r="Q199" s="1"/>
      <c r="R199" s="1"/>
      <c r="S199"/>
    </row>
    <row r="200" spans="16:19" x14ac:dyDescent="0.25">
      <c r="P200" s="1"/>
      <c r="Q200" s="1"/>
      <c r="R200" s="1"/>
      <c r="S200"/>
    </row>
    <row r="201" spans="16:19" x14ac:dyDescent="0.25">
      <c r="P201" s="1"/>
      <c r="Q201" s="1"/>
      <c r="R201" s="1"/>
      <c r="S201"/>
    </row>
    <row r="202" spans="16:19" x14ac:dyDescent="0.25">
      <c r="P202" s="1"/>
      <c r="Q202" s="1"/>
      <c r="R202" s="1"/>
      <c r="S202"/>
    </row>
    <row r="203" spans="16:19" x14ac:dyDescent="0.25">
      <c r="P203" s="1"/>
      <c r="Q203" s="1"/>
      <c r="R203" s="1"/>
      <c r="S203"/>
    </row>
    <row r="204" spans="16:19" x14ac:dyDescent="0.25">
      <c r="P204" s="1"/>
      <c r="Q204" s="1"/>
      <c r="R204" s="1"/>
      <c r="S204"/>
    </row>
    <row r="205" spans="16:19" x14ac:dyDescent="0.25">
      <c r="P205" s="1"/>
      <c r="Q205" s="1"/>
      <c r="R205" s="1"/>
      <c r="S205"/>
    </row>
    <row r="206" spans="16:19" x14ac:dyDescent="0.25">
      <c r="P206" s="1"/>
      <c r="Q206" s="1"/>
      <c r="R206" s="1"/>
      <c r="S206"/>
    </row>
    <row r="207" spans="16:19" x14ac:dyDescent="0.25">
      <c r="P207" s="1"/>
      <c r="Q207" s="1"/>
      <c r="R207" s="1"/>
      <c r="S207"/>
    </row>
    <row r="208" spans="16:19" x14ac:dyDescent="0.25">
      <c r="P208" s="1"/>
      <c r="Q208" s="1"/>
      <c r="R208" s="1"/>
      <c r="S208"/>
    </row>
    <row r="209" spans="16:19" x14ac:dyDescent="0.25">
      <c r="P209" s="1"/>
      <c r="Q209" s="1"/>
      <c r="R209" s="1"/>
      <c r="S209"/>
    </row>
    <row r="210" spans="16:19" x14ac:dyDescent="0.25">
      <c r="P210" s="1"/>
      <c r="Q210" s="1"/>
      <c r="R210" s="1"/>
      <c r="S210"/>
    </row>
    <row r="211" spans="16:19" x14ac:dyDescent="0.25">
      <c r="P211" s="1"/>
      <c r="Q211" s="1"/>
      <c r="R211" s="1"/>
      <c r="S211"/>
    </row>
    <row r="212" spans="16:19" x14ac:dyDescent="0.25">
      <c r="P212" s="1"/>
      <c r="Q212" s="1"/>
      <c r="R212" s="1"/>
      <c r="S212"/>
    </row>
    <row r="213" spans="16:19" x14ac:dyDescent="0.25">
      <c r="P213" s="1"/>
      <c r="Q213" s="1"/>
      <c r="R213" s="1"/>
      <c r="S213"/>
    </row>
    <row r="214" spans="16:19" x14ac:dyDescent="0.25">
      <c r="P214" s="1"/>
      <c r="Q214" s="1"/>
      <c r="R214" s="1"/>
      <c r="S214"/>
    </row>
    <row r="215" spans="16:19" x14ac:dyDescent="0.25">
      <c r="P215" s="1"/>
      <c r="Q215" s="1"/>
      <c r="R215" s="1"/>
      <c r="S215"/>
    </row>
    <row r="216" spans="16:19" x14ac:dyDescent="0.25">
      <c r="P216" s="1"/>
      <c r="Q216" s="1"/>
      <c r="R216" s="1"/>
      <c r="S216"/>
    </row>
    <row r="217" spans="16:19" x14ac:dyDescent="0.25">
      <c r="P217" s="1"/>
      <c r="Q217" s="1"/>
      <c r="R217" s="1"/>
      <c r="S217"/>
    </row>
    <row r="218" spans="16:19" x14ac:dyDescent="0.25">
      <c r="P218" s="1"/>
      <c r="Q218" s="1"/>
      <c r="R218" s="1"/>
      <c r="S218"/>
    </row>
    <row r="219" spans="16:19" x14ac:dyDescent="0.25">
      <c r="P219" s="1"/>
      <c r="Q219" s="1"/>
      <c r="R219" s="1"/>
      <c r="S219"/>
    </row>
    <row r="220" spans="16:19" x14ac:dyDescent="0.25">
      <c r="P220" s="1"/>
      <c r="Q220" s="1"/>
      <c r="R220" s="1"/>
      <c r="S220"/>
    </row>
    <row r="221" spans="16:19" x14ac:dyDescent="0.25">
      <c r="P221" s="1"/>
      <c r="Q221" s="1"/>
      <c r="R221" s="1"/>
      <c r="S221"/>
    </row>
    <row r="222" spans="16:19" x14ac:dyDescent="0.25">
      <c r="P222" s="1"/>
      <c r="Q222" s="1"/>
      <c r="R222" s="1"/>
      <c r="S222"/>
    </row>
    <row r="223" spans="16:19" x14ac:dyDescent="0.25">
      <c r="P223" s="1"/>
      <c r="Q223" s="1"/>
      <c r="R223" s="1"/>
      <c r="S223"/>
    </row>
    <row r="224" spans="16:19" x14ac:dyDescent="0.25">
      <c r="P224" s="1"/>
      <c r="Q224" s="1"/>
      <c r="R224" s="1"/>
      <c r="S224"/>
    </row>
    <row r="225" spans="16:19" x14ac:dyDescent="0.25">
      <c r="P225" s="1"/>
      <c r="Q225" s="1"/>
      <c r="R225" s="1"/>
      <c r="S225"/>
    </row>
    <row r="226" spans="16:19" x14ac:dyDescent="0.25">
      <c r="P226" s="1"/>
      <c r="Q226" s="1"/>
      <c r="R226" s="1"/>
      <c r="S226"/>
    </row>
    <row r="227" spans="16:19" x14ac:dyDescent="0.25">
      <c r="P227" s="1"/>
      <c r="Q227" s="1"/>
      <c r="R227" s="1"/>
      <c r="S227"/>
    </row>
    <row r="228" spans="16:19" x14ac:dyDescent="0.25">
      <c r="P228" s="1"/>
      <c r="Q228" s="1"/>
      <c r="R228" s="1"/>
      <c r="S228"/>
    </row>
    <row r="229" spans="16:19" x14ac:dyDescent="0.25">
      <c r="P229" s="1"/>
      <c r="Q229" s="1"/>
      <c r="R229" s="1"/>
      <c r="S229"/>
    </row>
    <row r="230" spans="16:19" x14ac:dyDescent="0.25">
      <c r="P230" s="1"/>
      <c r="Q230" s="1"/>
      <c r="R230" s="1"/>
      <c r="S230"/>
    </row>
    <row r="231" spans="16:19" x14ac:dyDescent="0.25">
      <c r="P231" s="1"/>
      <c r="Q231" s="1"/>
      <c r="R231" s="1"/>
      <c r="S231"/>
    </row>
    <row r="232" spans="16:19" x14ac:dyDescent="0.25">
      <c r="P232" s="1"/>
      <c r="Q232" s="1"/>
      <c r="R232" s="1"/>
      <c r="S232"/>
    </row>
    <row r="233" spans="16:19" x14ac:dyDescent="0.25">
      <c r="P233" s="1"/>
      <c r="Q233" s="1"/>
      <c r="R233" s="1"/>
      <c r="S233"/>
    </row>
    <row r="234" spans="16:19" x14ac:dyDescent="0.25">
      <c r="P234" s="1"/>
      <c r="Q234" s="1"/>
      <c r="R234" s="1"/>
      <c r="S234"/>
    </row>
    <row r="235" spans="16:19" x14ac:dyDescent="0.25">
      <c r="P235" s="1"/>
      <c r="Q235" s="1"/>
      <c r="R235" s="1"/>
      <c r="S235"/>
    </row>
    <row r="236" spans="16:19" x14ac:dyDescent="0.25">
      <c r="P236" s="1"/>
      <c r="Q236" s="1"/>
      <c r="R236" s="1"/>
      <c r="S236"/>
    </row>
    <row r="237" spans="16:19" x14ac:dyDescent="0.25">
      <c r="P237" s="1"/>
      <c r="Q237" s="1"/>
      <c r="R237" s="1"/>
      <c r="S237"/>
    </row>
    <row r="238" spans="16:19" x14ac:dyDescent="0.25">
      <c r="P238" s="1"/>
      <c r="Q238" s="1"/>
      <c r="R238" s="1"/>
      <c r="S238"/>
    </row>
    <row r="239" spans="16:19" x14ac:dyDescent="0.25">
      <c r="P239" s="1"/>
      <c r="Q239" s="1"/>
      <c r="R239" s="1"/>
      <c r="S239"/>
    </row>
    <row r="240" spans="16:19" x14ac:dyDescent="0.25">
      <c r="P240" s="1"/>
      <c r="Q240" s="1"/>
      <c r="R240" s="1"/>
      <c r="S240"/>
    </row>
    <row r="241" spans="16:19" x14ac:dyDescent="0.25">
      <c r="P241" s="1"/>
      <c r="Q241" s="1"/>
      <c r="R241" s="1"/>
      <c r="S241"/>
    </row>
    <row r="242" spans="16:19" x14ac:dyDescent="0.25">
      <c r="P242" s="1"/>
      <c r="Q242" s="1"/>
      <c r="R242" s="1"/>
      <c r="S242"/>
    </row>
    <row r="243" spans="16:19" x14ac:dyDescent="0.25">
      <c r="P243" s="1"/>
      <c r="Q243" s="1"/>
      <c r="R243" s="1"/>
      <c r="S243"/>
    </row>
    <row r="244" spans="16:19" x14ac:dyDescent="0.25">
      <c r="P244" s="1"/>
      <c r="Q244" s="1"/>
      <c r="R244" s="1"/>
      <c r="S244"/>
    </row>
    <row r="245" spans="16:19" x14ac:dyDescent="0.25">
      <c r="P245" s="1"/>
      <c r="Q245" s="1"/>
      <c r="R245" s="1"/>
      <c r="S245"/>
    </row>
    <row r="246" spans="16:19" x14ac:dyDescent="0.25">
      <c r="P246" s="1"/>
      <c r="Q246" s="1"/>
      <c r="R246" s="1"/>
      <c r="S246"/>
    </row>
    <row r="247" spans="16:19" x14ac:dyDescent="0.25">
      <c r="P247" s="1"/>
      <c r="Q247" s="1"/>
      <c r="R247" s="1"/>
      <c r="S247"/>
    </row>
    <row r="248" spans="16:19" x14ac:dyDescent="0.25">
      <c r="P248" s="1"/>
      <c r="Q248" s="1"/>
      <c r="R248" s="1"/>
      <c r="S248"/>
    </row>
    <row r="249" spans="16:19" x14ac:dyDescent="0.25">
      <c r="P249" s="1"/>
      <c r="Q249" s="1"/>
      <c r="R249" s="1"/>
      <c r="S249"/>
    </row>
    <row r="250" spans="16:19" x14ac:dyDescent="0.25">
      <c r="P250" s="1"/>
      <c r="Q250" s="1"/>
      <c r="R250" s="1"/>
      <c r="S250"/>
    </row>
    <row r="251" spans="16:19" x14ac:dyDescent="0.25">
      <c r="P251" s="1"/>
      <c r="Q251" s="1"/>
      <c r="R251" s="1"/>
      <c r="S251"/>
    </row>
    <row r="252" spans="16:19" x14ac:dyDescent="0.25">
      <c r="P252" s="1"/>
      <c r="Q252" s="1"/>
      <c r="R252" s="1"/>
      <c r="S252"/>
    </row>
    <row r="253" spans="16:19" x14ac:dyDescent="0.25">
      <c r="P253" s="1"/>
      <c r="Q253" s="1"/>
      <c r="R253" s="1"/>
      <c r="S253"/>
    </row>
    <row r="254" spans="16:19" x14ac:dyDescent="0.25">
      <c r="P254" s="1"/>
      <c r="Q254" s="1"/>
      <c r="R254" s="1"/>
      <c r="S254"/>
    </row>
    <row r="255" spans="16:19" x14ac:dyDescent="0.25">
      <c r="P255" s="1"/>
      <c r="Q255" s="1"/>
      <c r="R255" s="1"/>
      <c r="S255"/>
    </row>
    <row r="256" spans="16:19" x14ac:dyDescent="0.25">
      <c r="P256" s="1"/>
      <c r="Q256" s="1"/>
      <c r="R256" s="1"/>
      <c r="S256"/>
    </row>
    <row r="257" spans="16:19" x14ac:dyDescent="0.25">
      <c r="P257" s="1"/>
      <c r="Q257" s="1"/>
      <c r="R257" s="1"/>
      <c r="S257"/>
    </row>
    <row r="258" spans="16:19" x14ac:dyDescent="0.25">
      <c r="P258" s="1"/>
      <c r="Q258" s="1"/>
      <c r="R258" s="1"/>
      <c r="S258"/>
    </row>
    <row r="259" spans="16:19" x14ac:dyDescent="0.25">
      <c r="P259" s="1"/>
      <c r="Q259" s="1"/>
      <c r="R259" s="1"/>
      <c r="S259"/>
    </row>
  </sheetData>
  <autoFilter ref="A1:AN41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FBCEB-3650-4CB1-ADB4-F7DE4E787AD4}">
  <dimension ref="A1:D11"/>
  <sheetViews>
    <sheetView zoomScaleNormal="100" workbookViewId="0">
      <selection activeCell="F3" sqref="F3:F8"/>
    </sheetView>
  </sheetViews>
  <sheetFormatPr defaultRowHeight="15" x14ac:dyDescent="0.25"/>
  <cols>
    <col min="1" max="1" width="14.140625" bestFit="1" customWidth="1"/>
    <col min="2" max="2" width="26.28515625" bestFit="1" customWidth="1"/>
    <col min="4" max="4" width="8.7109375" bestFit="1" customWidth="1"/>
  </cols>
  <sheetData>
    <row r="1" spans="1:4" x14ac:dyDescent="0.25">
      <c r="A1" s="62" t="s">
        <v>77</v>
      </c>
      <c r="B1" s="63">
        <f>SUM(B2:B4)</f>
        <v>15820.3</v>
      </c>
      <c r="D1" s="64" t="s">
        <v>56</v>
      </c>
    </row>
    <row r="2" spans="1:4" ht="15.75" thickBot="1" x14ac:dyDescent="0.3">
      <c r="A2" s="65" t="s">
        <v>76</v>
      </c>
      <c r="B2" s="66">
        <f>SUMIFS(MENU!O:O,MENU!B:B,"INAD.",MENU!K:K,"&gt;=-30",MENU!K:K,"&lt;=0",MENU!J:J,'RANKING - GV'!D2)</f>
        <v>11408.39</v>
      </c>
      <c r="D2" s="67" t="s">
        <v>111</v>
      </c>
    </row>
    <row r="3" spans="1:4" x14ac:dyDescent="0.25">
      <c r="A3" s="65" t="s">
        <v>74</v>
      </c>
      <c r="B3" s="66">
        <f>SUMIFS(MENU!O:O,MENU!B:B,"IREC.",MENU!K:K,"&gt;=-75",MENU!K:K,"&lt;=0",MENU!J:J,'RANKING - GV'!D2)</f>
        <v>4411.91</v>
      </c>
    </row>
    <row r="4" spans="1:4" x14ac:dyDescent="0.25">
      <c r="A4" s="68" t="s">
        <v>75</v>
      </c>
      <c r="B4" s="69">
        <f>SUMIFS(MENU!O:O, MENU!B:B, "PDD", MENU!K:K, "&lt;=-75",MENU!J:J,'RANKING - GV'!D2)</f>
        <v>0</v>
      </c>
    </row>
    <row r="8" spans="1:4" x14ac:dyDescent="0.25">
      <c r="A8" s="2" t="s">
        <v>96</v>
      </c>
      <c r="B8" s="72" t="s">
        <v>122</v>
      </c>
    </row>
    <row r="9" spans="1:4" x14ac:dyDescent="0.25">
      <c r="A9" s="70" t="s">
        <v>121</v>
      </c>
      <c r="B9" s="71">
        <f>$B$2/MENU!N2</f>
        <v>2.8706743513964741E-3</v>
      </c>
    </row>
    <row r="10" spans="1:4" x14ac:dyDescent="0.25">
      <c r="A10" s="70" t="s">
        <v>98</v>
      </c>
      <c r="B10" s="71">
        <f>B3/MENU!N2</f>
        <v>1.1101616334705966E-3</v>
      </c>
    </row>
    <row r="11" spans="1:4" x14ac:dyDescent="0.25">
      <c r="A11" s="70"/>
    </row>
  </sheetData>
  <conditionalFormatting sqref="A2:A4">
    <cfRule type="cellIs" dxfId="3" priority="5" operator="equal">
      <formula>"PDD"</formula>
    </cfRule>
    <cfRule type="cellIs" dxfId="2" priority="6" operator="equal">
      <formula>"IRREC."</formula>
    </cfRule>
  </conditionalFormatting>
  <conditionalFormatting sqref="B1:B4">
    <cfRule type="cellIs" dxfId="1" priority="3" operator="equal">
      <formula>"PDD"</formula>
    </cfRule>
    <cfRule type="cellIs" dxfId="0" priority="4" operator="equal">
      <formula>"IRREC."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8BA544-965E-4F8E-AF8F-7EDB717AB3E7}">
          <x14:formula1>
            <xm:f>MENU!$J$25:$J$1048576</xm:f>
          </x14:formula1>
          <xm:sqref>D2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21D2-1458-44DB-B6C2-B9244B5958D4}">
  <dimension ref="A1:E12"/>
  <sheetViews>
    <sheetView tabSelected="1" workbookViewId="0">
      <selection activeCell="D11" sqref="D11"/>
    </sheetView>
  </sheetViews>
  <sheetFormatPr defaultRowHeight="15" x14ac:dyDescent="0.25"/>
  <cols>
    <col min="1" max="1" width="21.42578125" bestFit="1" customWidth="1"/>
    <col min="6" max="6" width="12.7109375" bestFit="1" customWidth="1"/>
  </cols>
  <sheetData>
    <row r="1" spans="1:5" ht="16.5" thickTop="1" thickBot="1" x14ac:dyDescent="0.3">
      <c r="A1" s="58" t="s">
        <v>110</v>
      </c>
      <c r="B1" s="59" t="s">
        <v>56</v>
      </c>
      <c r="D1" s="60" t="s">
        <v>57</v>
      </c>
      <c r="E1" s="61" t="s">
        <v>113</v>
      </c>
    </row>
    <row r="2" spans="1:5" ht="15.75" thickTop="1" x14ac:dyDescent="0.25">
      <c r="A2" s="54">
        <v>512</v>
      </c>
      <c r="B2" s="55" t="s">
        <v>111</v>
      </c>
    </row>
    <row r="3" spans="1:5" x14ac:dyDescent="0.25">
      <c r="A3" s="54">
        <v>513</v>
      </c>
      <c r="B3" s="55" t="s">
        <v>111</v>
      </c>
    </row>
    <row r="4" spans="1:5" x14ac:dyDescent="0.25">
      <c r="A4" s="54">
        <v>514</v>
      </c>
      <c r="B4" s="55" t="s">
        <v>111</v>
      </c>
    </row>
    <row r="5" spans="1:5" x14ac:dyDescent="0.25">
      <c r="A5" s="54">
        <v>511</v>
      </c>
      <c r="B5" s="55" t="s">
        <v>111</v>
      </c>
    </row>
    <row r="6" spans="1:5" x14ac:dyDescent="0.25">
      <c r="A6" s="54">
        <v>515</v>
      </c>
      <c r="B6" s="55" t="s">
        <v>111</v>
      </c>
    </row>
    <row r="7" spans="1:5" x14ac:dyDescent="0.25">
      <c r="A7" s="54">
        <v>101</v>
      </c>
      <c r="B7" s="55" t="s">
        <v>112</v>
      </c>
    </row>
    <row r="8" spans="1:5" x14ac:dyDescent="0.25">
      <c r="A8" s="54">
        <v>103</v>
      </c>
      <c r="B8" s="55" t="s">
        <v>112</v>
      </c>
    </row>
    <row r="9" spans="1:5" x14ac:dyDescent="0.25">
      <c r="A9" s="54">
        <v>102</v>
      </c>
      <c r="B9" s="55" t="s">
        <v>112</v>
      </c>
    </row>
    <row r="10" spans="1:5" x14ac:dyDescent="0.25">
      <c r="A10" s="54">
        <v>104</v>
      </c>
      <c r="B10" s="55" t="s">
        <v>112</v>
      </c>
    </row>
    <row r="11" spans="1:5" ht="15.75" thickBot="1" x14ac:dyDescent="0.3">
      <c r="A11" s="56">
        <v>501</v>
      </c>
      <c r="B11" s="57" t="s">
        <v>112</v>
      </c>
    </row>
    <row r="12" spans="1:5" ht="15.75" thickTop="1" x14ac:dyDescent="0.25"/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C4D3-CA49-4788-B3D4-159B6E35592A}">
  <dimension ref="A1:B10"/>
  <sheetViews>
    <sheetView workbookViewId="0">
      <selection activeCell="A4" sqref="A4:XFD4"/>
    </sheetView>
  </sheetViews>
  <sheetFormatPr defaultRowHeight="15" x14ac:dyDescent="0.25"/>
  <cols>
    <col min="1" max="1" width="10" bestFit="1" customWidth="1"/>
    <col min="2" max="2" width="37" bestFit="1" customWidth="1"/>
  </cols>
  <sheetData>
    <row r="1" spans="1:2" x14ac:dyDescent="0.25">
      <c r="A1">
        <v>106</v>
      </c>
      <c r="B1" t="s">
        <v>129</v>
      </c>
    </row>
    <row r="2" spans="1:2" x14ac:dyDescent="0.25">
      <c r="A2">
        <v>103</v>
      </c>
      <c r="B2" t="s">
        <v>194</v>
      </c>
    </row>
    <row r="3" spans="1:2" x14ac:dyDescent="0.25">
      <c r="A3">
        <v>101</v>
      </c>
      <c r="B3" t="s">
        <v>102</v>
      </c>
    </row>
    <row r="4" spans="1:2" x14ac:dyDescent="0.25">
      <c r="A4">
        <v>102</v>
      </c>
      <c r="B4" t="s">
        <v>104</v>
      </c>
    </row>
    <row r="5" spans="1:2" x14ac:dyDescent="0.25">
      <c r="A5">
        <v>104</v>
      </c>
      <c r="B5" t="s">
        <v>105</v>
      </c>
    </row>
    <row r="6" spans="1:2" x14ac:dyDescent="0.25">
      <c r="A6">
        <v>512</v>
      </c>
      <c r="B6" t="str">
        <f>_xlfn.TEXTBEFORE(PROPER(_xlfn.XLOOKUP(A6,'[1]01.20.11_PW01127R_Lucas_v_11491'!$B:$B,'[1]01.20.11_PW01127R_Lucas_v_11491'!$C:$C))," ")</f>
        <v>Kelvia</v>
      </c>
    </row>
    <row r="7" spans="1:2" x14ac:dyDescent="0.25">
      <c r="A7">
        <v>513</v>
      </c>
      <c r="B7" t="str">
        <f>_xlfn.TEXTBEFORE(PROPER(_xlfn.XLOOKUP(A7,'[1]01.20.11_PW01127R_Lucas_v_11491'!$B:$B,'[1]01.20.11_PW01127R_Lucas_v_11491'!$C:$C))," ")</f>
        <v>Jefferson</v>
      </c>
    </row>
    <row r="8" spans="1:2" x14ac:dyDescent="0.25">
      <c r="A8">
        <v>514</v>
      </c>
      <c r="B8" t="str">
        <f>_xlfn.TEXTBEFORE(PROPER(_xlfn.XLOOKUP(A8,'[1]01.20.11_PW01127R_Lucas_v_11491'!$B:$B,'[1]01.20.11_PW01127R_Lucas_v_11491'!$C:$C))," ")</f>
        <v>Juan</v>
      </c>
    </row>
    <row r="9" spans="1:2" x14ac:dyDescent="0.25">
      <c r="A9">
        <v>515</v>
      </c>
      <c r="B9" t="str">
        <f>_xlfn.TEXTBEFORE(PROPER(_xlfn.XLOOKUP(A9,'[1]01.20.11_PW01127R_Lucas_v_11491'!$B:$B,'[1]01.20.11_PW01127R_Lucas_v_11491'!$C:$C))," ")</f>
        <v>Jose</v>
      </c>
    </row>
    <row r="10" spans="1:2" x14ac:dyDescent="0.25">
      <c r="A10">
        <v>511</v>
      </c>
      <c r="B10" t="s">
        <v>103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MENU</vt:lpstr>
      <vt:lpstr>CAR PROMAX FILIAL CRUZ</vt:lpstr>
      <vt:lpstr>RANKING - GV</vt:lpstr>
      <vt:lpstr>GV - SETORES</vt:lpstr>
      <vt:lpstr>RN - SETORES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Capitali</dc:creator>
  <cp:lastModifiedBy>User</cp:lastModifiedBy>
  <cp:lastPrinted>2026-04-24T12:45:45Z</cp:lastPrinted>
  <dcterms:created xsi:type="dcterms:W3CDTF">2024-12-11T15:41:41Z</dcterms:created>
  <dcterms:modified xsi:type="dcterms:W3CDTF">2026-04-24T19:06:52Z</dcterms:modified>
</cp:coreProperties>
</file>